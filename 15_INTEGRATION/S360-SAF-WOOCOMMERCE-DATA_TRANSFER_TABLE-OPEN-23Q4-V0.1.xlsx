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09"/>
  <workbookPr defaultThemeVersion="166925"/>
  <xr:revisionPtr revIDLastSave="1533" documentId="11_557DF59B62957EA629C1708BA43ED8DE52416EA4" xr6:coauthVersionLast="47" xr6:coauthVersionMax="47" xr10:uidLastSave="{A96E1A0C-3491-4CFB-A89A-5BAF71A754CF}"/>
  <bookViews>
    <workbookView xWindow="240" yWindow="105" windowWidth="14805" windowHeight="8010" xr2:uid="{00000000-000D-0000-FFFF-FFFF00000000}"/>
  </bookViews>
  <sheets>
    <sheet name="fields" sheetId="2" r:id="rId1"/>
    <sheet name="mappings" sheetId="3" r:id="rId2"/>
    <sheet name="operations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/>
  <c r="E3" i="3"/>
  <c r="F3" i="3"/>
  <c r="G3" i="3"/>
  <c r="H3" i="3"/>
  <c r="I3" i="3"/>
  <c r="J3" i="3"/>
  <c r="K3" i="3"/>
  <c r="L3" i="3"/>
  <c r="N3" i="3"/>
  <c r="O3" i="3"/>
  <c r="P3" i="3"/>
  <c r="Q3" i="3"/>
  <c r="R3" i="3"/>
  <c r="S3" i="3"/>
  <c r="T3" i="3"/>
  <c r="U3" i="3"/>
  <c r="V3" i="3"/>
  <c r="W3" i="3"/>
  <c r="O2" i="3"/>
  <c r="N2" i="3"/>
  <c r="W2" i="3"/>
  <c r="V2" i="3"/>
  <c r="U2" i="3"/>
  <c r="T2" i="3"/>
  <c r="S2" i="3"/>
  <c r="R2" i="3"/>
  <c r="Q2" i="3"/>
  <c r="J2" i="3"/>
  <c r="I2" i="3"/>
  <c r="H2" i="3"/>
  <c r="G2" i="3"/>
  <c r="F2" i="3"/>
  <c r="D2" i="3"/>
  <c r="E2" i="3"/>
</calcChain>
</file>

<file path=xl/sharedStrings.xml><?xml version="1.0" encoding="utf-8"?>
<sst xmlns="http://schemas.openxmlformats.org/spreadsheetml/2006/main" count="737" uniqueCount="289">
  <si>
    <t>uid</t>
  </si>
  <si>
    <t>System</t>
  </si>
  <si>
    <t>Genericobject</t>
  </si>
  <si>
    <t xml:space="preserve">Object </t>
  </si>
  <si>
    <t>Fieldname</t>
  </si>
  <si>
    <t>Fieldlength</t>
  </si>
  <si>
    <t>fieldtype</t>
  </si>
  <si>
    <t>description</t>
  </si>
  <si>
    <t>abc789</t>
  </si>
  <si>
    <t>woo</t>
  </si>
  <si>
    <t>product</t>
  </si>
  <si>
    <t>products</t>
  </si>
  <si>
    <t>id</t>
  </si>
  <si>
    <t>integer</t>
  </si>
  <si>
    <t>Unique identifier for the resource.</t>
  </si>
  <si>
    <t>dws824</t>
  </si>
  <si>
    <t>name</t>
  </si>
  <si>
    <t>string</t>
  </si>
  <si>
    <t>Product name.</t>
  </si>
  <si>
    <t>woo534</t>
  </si>
  <si>
    <t>file</t>
  </si>
  <si>
    <t>File URL</t>
  </si>
  <si>
    <t>woo981</t>
  </si>
  <si>
    <t>catalog_visibility</t>
  </si>
  <si>
    <t>Catalog visibility. Options: visible, catalog, search and hidden. Default is visible.</t>
  </si>
  <si>
    <t>woo086</t>
  </si>
  <si>
    <t>Product description.</t>
  </si>
  <si>
    <t>woo002</t>
  </si>
  <si>
    <t>Product short description</t>
  </si>
  <si>
    <t>woo618</t>
  </si>
  <si>
    <t>sku</t>
  </si>
  <si>
    <t>Unique identifier</t>
  </si>
  <si>
    <t>woo872</t>
  </si>
  <si>
    <t>price</t>
  </si>
  <si>
    <t>Current product price.</t>
  </si>
  <si>
    <t>woo098</t>
  </si>
  <si>
    <t>stock_quantity</t>
  </si>
  <si>
    <t>number</t>
  </si>
  <si>
    <t>Stock Quantity</t>
  </si>
  <si>
    <t>woo762</t>
  </si>
  <si>
    <t>weight</t>
  </si>
  <si>
    <t>woo562</t>
  </si>
  <si>
    <t>shipping_class_id</t>
  </si>
  <si>
    <t>Shipping class ID</t>
  </si>
  <si>
    <t>woo142</t>
  </si>
  <si>
    <t>products-dimensions</t>
  </si>
  <si>
    <t>length</t>
  </si>
  <si>
    <t>woo983</t>
  </si>
  <si>
    <t>width</t>
  </si>
  <si>
    <t>woo081</t>
  </si>
  <si>
    <t>height</t>
  </si>
  <si>
    <t>woo082</t>
  </si>
  <si>
    <t>products-categories</t>
  </si>
  <si>
    <t>woo567</t>
  </si>
  <si>
    <t>woo024</t>
  </si>
  <si>
    <t>slug</t>
  </si>
  <si>
    <t>woo398</t>
  </si>
  <si>
    <t>products-tags</t>
  </si>
  <si>
    <t>tags</t>
  </si>
  <si>
    <t>array</t>
  </si>
  <si>
    <t>List of tags.</t>
  </si>
  <si>
    <t>gyi652</t>
  </si>
  <si>
    <t>saf</t>
  </si>
  <si>
    <t>product2</t>
  </si>
  <si>
    <t>ftr243</t>
  </si>
  <si>
    <t>text</t>
  </si>
  <si>
    <t>saf546</t>
  </si>
  <si>
    <t>DisplayUrl</t>
  </si>
  <si>
    <t>url</t>
  </si>
  <si>
    <t>saf543</t>
  </si>
  <si>
    <t>IsActive</t>
  </si>
  <si>
    <t>checkbox</t>
  </si>
  <si>
    <t>saf498</t>
  </si>
  <si>
    <t>Product_Categories__c</t>
  </si>
  <si>
    <t>picklist</t>
  </si>
  <si>
    <t>saf976</t>
  </si>
  <si>
    <t>Product_Depth__c</t>
  </si>
  <si>
    <t>(18;0)</t>
  </si>
  <si>
    <t>saf645</t>
  </si>
  <si>
    <t>Product_Height__c</t>
  </si>
  <si>
    <t>saf487</t>
  </si>
  <si>
    <t>Product_Length__c</t>
  </si>
  <si>
    <t>saf457</t>
  </si>
  <si>
    <t>Product_Weight__c</t>
  </si>
  <si>
    <t>saf654</t>
  </si>
  <si>
    <t>Product_labels__c</t>
  </si>
  <si>
    <t>Picklist (Multi-Select)</t>
  </si>
  <si>
    <t>saf287</t>
  </si>
  <si>
    <t>Description</t>
  </si>
  <si>
    <t>Text Area</t>
  </si>
  <si>
    <t>saf345</t>
  </si>
  <si>
    <t>Product_Price__c</t>
  </si>
  <si>
    <t>(16;0)</t>
  </si>
  <si>
    <t>saf109</t>
  </si>
  <si>
    <t>ProductCode</t>
  </si>
  <si>
    <t>saf435</t>
  </si>
  <si>
    <t>StockKeepingUnit</t>
  </si>
  <si>
    <t>saf456</t>
  </si>
  <si>
    <t>Stock_level__c</t>
  </si>
  <si>
    <t>woc001</t>
  </si>
  <si>
    <t>customer</t>
  </si>
  <si>
    <t>customers</t>
  </si>
  <si>
    <t>Id</t>
  </si>
  <si>
    <t>woc002</t>
  </si>
  <si>
    <t>email</t>
  </si>
  <si>
    <t>woc003</t>
  </si>
  <si>
    <t>first_name</t>
  </si>
  <si>
    <t>woc004</t>
  </si>
  <si>
    <t>last_name</t>
  </si>
  <si>
    <t>woc005</t>
  </si>
  <si>
    <t>role</t>
  </si>
  <si>
    <t>woc006</t>
  </si>
  <si>
    <t>username</t>
  </si>
  <si>
    <t>woc007</t>
  </si>
  <si>
    <t>password</t>
  </si>
  <si>
    <t>woc008</t>
  </si>
  <si>
    <t>company</t>
  </si>
  <si>
    <t>wcb001</t>
  </si>
  <si>
    <t>customer-billing</t>
  </si>
  <si>
    <t>wcb002</t>
  </si>
  <si>
    <t>wcb003</t>
  </si>
  <si>
    <t>address_1</t>
  </si>
  <si>
    <t>wcb004</t>
  </si>
  <si>
    <t>address_2</t>
  </si>
  <si>
    <t>wcb005</t>
  </si>
  <si>
    <t>city</t>
  </si>
  <si>
    <t>wcb006</t>
  </si>
  <si>
    <t>state</t>
  </si>
  <si>
    <t>wcb007</t>
  </si>
  <si>
    <t>postcode</t>
  </si>
  <si>
    <t>wcb008</t>
  </si>
  <si>
    <t>wcb009</t>
  </si>
  <si>
    <t>phone</t>
  </si>
  <si>
    <t>wcs001</t>
  </si>
  <si>
    <t>customer-shipping</t>
  </si>
  <si>
    <t>wcs002</t>
  </si>
  <si>
    <t>wcs003</t>
  </si>
  <si>
    <t>wcs004</t>
  </si>
  <si>
    <t>wcs005</t>
  </si>
  <si>
    <t>wcs006</t>
  </si>
  <si>
    <t>wcs007</t>
  </si>
  <si>
    <t>wcs008</t>
  </si>
  <si>
    <t>wcs009</t>
  </si>
  <si>
    <t>sca001</t>
  </si>
  <si>
    <t>account</t>
  </si>
  <si>
    <t>accounts</t>
  </si>
  <si>
    <t>accountid</t>
  </si>
  <si>
    <t>sca002</t>
  </si>
  <si>
    <t>accountname</t>
  </si>
  <si>
    <t>sca003</t>
  </si>
  <si>
    <t>accountnumber</t>
  </si>
  <si>
    <t>sca004</t>
  </si>
  <si>
    <t>billingaddress</t>
  </si>
  <si>
    <t>address</t>
  </si>
  <si>
    <t>sca005</t>
  </si>
  <si>
    <t>billingcity</t>
  </si>
  <si>
    <t>sca006</t>
  </si>
  <si>
    <t>billingcountry</t>
  </si>
  <si>
    <t>sca007</t>
  </si>
  <si>
    <t>billingpostalcode/zip</t>
  </si>
  <si>
    <t>sca008</t>
  </si>
  <si>
    <t>billingstateprovince</t>
  </si>
  <si>
    <t>sca009</t>
  </si>
  <si>
    <t>billingstreet</t>
  </si>
  <si>
    <t>sca010</t>
  </si>
  <si>
    <t>shippingaddress</t>
  </si>
  <si>
    <t>sca011</t>
  </si>
  <si>
    <t>shippingcity</t>
  </si>
  <si>
    <t>sca012</t>
  </si>
  <si>
    <t>shippingcountry</t>
  </si>
  <si>
    <t>sca013</t>
  </si>
  <si>
    <t>shippingpostalcode/zip</t>
  </si>
  <si>
    <t>sca014</t>
  </si>
  <si>
    <t>shippingstateprovince</t>
  </si>
  <si>
    <t>sca015</t>
  </si>
  <si>
    <t>shippingstreet</t>
  </si>
  <si>
    <t>sca016</t>
  </si>
  <si>
    <t>currency</t>
  </si>
  <si>
    <t>sca017</t>
  </si>
  <si>
    <t>external id</t>
  </si>
  <si>
    <t>sca018</t>
  </si>
  <si>
    <t xml:space="preserve">long text area </t>
  </si>
  <si>
    <t>sca019</t>
  </si>
  <si>
    <t>sca020</t>
  </si>
  <si>
    <t>siret</t>
  </si>
  <si>
    <t>scc001</t>
  </si>
  <si>
    <t>contact</t>
  </si>
  <si>
    <t>contacts</t>
  </si>
  <si>
    <t>lookup(account)</t>
  </si>
  <si>
    <t>scc002</t>
  </si>
  <si>
    <t>namesalutation</t>
  </si>
  <si>
    <t>scc003</t>
  </si>
  <si>
    <t>namelastname</t>
  </si>
  <si>
    <t>scc004</t>
  </si>
  <si>
    <t>namefirstname</t>
  </si>
  <si>
    <t>scc005</t>
  </si>
  <si>
    <t>scc006</t>
  </si>
  <si>
    <t>scc007</t>
  </si>
  <si>
    <t>scc008</t>
  </si>
  <si>
    <t>scc009</t>
  </si>
  <si>
    <t>wor001</t>
  </si>
  <si>
    <t>orders</t>
  </si>
  <si>
    <t>order</t>
  </si>
  <si>
    <t>wor002</t>
  </si>
  <si>
    <t>discount_total</t>
  </si>
  <si>
    <t>wor003</t>
  </si>
  <si>
    <t>wor004</t>
  </si>
  <si>
    <t>order_key</t>
  </si>
  <si>
    <t>wor005</t>
  </si>
  <si>
    <t>status</t>
  </si>
  <si>
    <t>wor006</t>
  </si>
  <si>
    <t>wor007</t>
  </si>
  <si>
    <t>date_created</t>
  </si>
  <si>
    <t>date_time</t>
  </si>
  <si>
    <t>wor008</t>
  </si>
  <si>
    <t>shipping_total</t>
  </si>
  <si>
    <t>wor009</t>
  </si>
  <si>
    <t>cart_tax</t>
  </si>
  <si>
    <t>wor010</t>
  </si>
  <si>
    <t>total</t>
  </si>
  <si>
    <t>wor011</t>
  </si>
  <si>
    <t>customer_id</t>
  </si>
  <si>
    <t>wor012</t>
  </si>
  <si>
    <t>date_paid</t>
  </si>
  <si>
    <t>wor013</t>
  </si>
  <si>
    <t>coupon_lines</t>
  </si>
  <si>
    <t>wor014</t>
  </si>
  <si>
    <t>billing</t>
  </si>
  <si>
    <t>object</t>
  </si>
  <si>
    <t>wor015</t>
  </si>
  <si>
    <t>shipping</t>
  </si>
  <si>
    <t>wor016</t>
  </si>
  <si>
    <t>Order</t>
  </si>
  <si>
    <t>Accountid</t>
  </si>
  <si>
    <t>lookup(Account)</t>
  </si>
  <si>
    <t>wor017</t>
  </si>
  <si>
    <t>AccountNumber</t>
  </si>
  <si>
    <t>Text(40)</t>
  </si>
  <si>
    <t>wor018</t>
  </si>
  <si>
    <t>EffectiveDate</t>
  </si>
  <si>
    <t>Date</t>
  </si>
  <si>
    <t>wor019</t>
  </si>
  <si>
    <t>Contractid</t>
  </si>
  <si>
    <t>Lookup(Contract)</t>
  </si>
  <si>
    <t>wor020</t>
  </si>
  <si>
    <t>Type</t>
  </si>
  <si>
    <t>Picklist</t>
  </si>
  <si>
    <t>wor021</t>
  </si>
  <si>
    <t>Status</t>
  </si>
  <si>
    <t>wor022</t>
  </si>
  <si>
    <t>ShippingAddress</t>
  </si>
  <si>
    <t>Address</t>
  </si>
  <si>
    <t>wor023</t>
  </si>
  <si>
    <t>OpportunityId</t>
  </si>
  <si>
    <t>Lookup(Opportunity)</t>
  </si>
  <si>
    <t>wor024</t>
  </si>
  <si>
    <t>BillingAddress</t>
  </si>
  <si>
    <t>wor025</t>
  </si>
  <si>
    <t>Long Text Area(32000)</t>
  </si>
  <si>
    <t>sourcefield</t>
  </si>
  <si>
    <t>middleware</t>
  </si>
  <si>
    <t>direction</t>
  </si>
  <si>
    <t>operation</t>
  </si>
  <si>
    <t>type</t>
  </si>
  <si>
    <t>function</t>
  </si>
  <si>
    <t>destinationfield</t>
  </si>
  <si>
    <t>System2</t>
  </si>
  <si>
    <t>Genericobject2</t>
  </si>
  <si>
    <t>Object2</t>
  </si>
  <si>
    <t>Fieldname2</t>
  </si>
  <si>
    <t>Fieldlength2</t>
  </si>
  <si>
    <t>fieldtype2</t>
  </si>
  <si>
    <t>description2</t>
  </si>
  <si>
    <t>juh517</t>
  </si>
  <si>
    <t>power</t>
  </si>
  <si>
    <t>to</t>
  </si>
  <si>
    <t>ftr563</t>
  </si>
  <si>
    <t>juh516</t>
  </si>
  <si>
    <t>link</t>
  </si>
  <si>
    <t>standard</t>
  </si>
  <si>
    <t>merge</t>
  </si>
  <si>
    <t>split</t>
  </si>
  <si>
    <t>specific</t>
  </si>
  <si>
    <t>regex</t>
  </si>
  <si>
    <t>serialization</t>
  </si>
  <si>
    <t>capitalization</t>
  </si>
  <si>
    <t>concate</t>
  </si>
  <si>
    <t>trim</t>
  </si>
  <si>
    <t>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</si>
</sst>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charset val="1"/>
    </font>
    <font>
      <sz val="11"/>
      <color rgb="FF333333"/>
      <name val="-Apple-System"/>
      <charset val="1"/>
    </font>
    <font>
      <sz val="10"/>
      <color rgb="FF181818"/>
      <name val="-Apple-System"/>
      <charset val="1"/>
    </font>
    <font>
      <sz val="11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4" fillId="0" borderId="0" xfId="0" applyFont="1"/>
    <xf numFmtId="0" fontId="2" fillId="2" borderId="0" xfId="0" applyFont="1" applyFill="1"/>
    <xf numFmtId="0" fontId="2" fillId="3" borderId="0" xfId="0" applyFont="1" applyFill="1"/>
    <xf numFmtId="0" fontId="3" fillId="3" borderId="0" xfId="0" applyFont="1" applyFill="1"/>
    <xf numFmtId="0" fontId="3" fillId="0" borderId="0" xfId="0" applyFont="1"/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/>
    <xf numFmtId="0" fontId="1" fillId="0" borderId="0" xfId="0" applyFont="1"/>
  </cellXfs>
  <cellStyles count="1">
    <cellStyle name="Normal" xfId="0" builtinId="0"/>
  </cellStyles>
  <dxfs count="27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000000"/>
      </font>
      <numFmt numFmtId="0" formatCode="General"/>
      <fill>
        <patternFill patternType="solid">
          <fgColor indexed="64"/>
          <bgColor theme="9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</dxf>
    <dxf>
      <font>
        <color rgb="FF000000"/>
      </font>
      <numFmt numFmtId="0" formatCode="General"/>
      <fill>
        <patternFill patternType="solid">
          <fgColor indexed="64"/>
          <bgColor theme="9" tint="0.79998168889431442"/>
        </patternFill>
      </fill>
    </dxf>
    <dxf>
      <font>
        <color rgb="FF000000"/>
      </font>
      <numFmt numFmtId="0" formatCode="General"/>
      <fill>
        <patternFill patternType="solid">
          <fgColor indexed="64"/>
          <bgColor theme="9" tint="0.7999816888943144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theme="9" tint="0.39997558519241921"/>
        </patternFill>
      </fill>
    </dxf>
    <dxf>
      <font>
        <color rgb="FF000000"/>
      </font>
      <fill>
        <patternFill patternType="solid">
          <fgColor indexed="64"/>
          <bgColor theme="9" tint="0.79998168889431442"/>
        </patternFill>
      </fill>
    </dxf>
    <dxf>
      <font>
        <color rgb="FF000000"/>
      </font>
      <fill>
        <patternFill patternType="solid">
          <fgColor indexed="64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-Apple-System"/>
        <charset val="1"/>
        <scheme val="none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40B9B8B-43D9-43C3-B9F7-7A2098BB9C5B}" name="fields" displayName="fields" ref="A1:H122" totalsRowShown="0">
  <autoFilter ref="A1:H122" xr:uid="{440B9B8B-43D9-43C3-B9F7-7A2098BB9C5B}">
    <filterColumn colId="1">
      <filters>
        <filter val="saf"/>
        <filter val="woo"/>
      </filters>
    </filterColumn>
  </autoFilter>
  <tableColumns count="8">
    <tableColumn id="8" xr3:uid="{2FC2B11A-8AD2-44E8-9B2B-05A638D2551B}" name="uid"/>
    <tableColumn id="1" xr3:uid="{1B893EA3-5E57-4864-BB80-BBBB450B2D42}" name="System"/>
    <tableColumn id="2" xr3:uid="{800250C2-83BE-4E37-9E8A-C07087B5C389}" name="Genericobject"/>
    <tableColumn id="3" xr3:uid="{93C77AA6-AC4C-404F-B08B-E58E6E83E045}" name="Object "/>
    <tableColumn id="4" xr3:uid="{2155EF82-428F-4214-8795-A54FDF291405}" name="Fieldname"/>
    <tableColumn id="5" xr3:uid="{3CEF8E7B-7E2E-459A-8DCB-D621EBF313FC}" name="Fieldlength"/>
    <tableColumn id="6" xr3:uid="{80BA2732-3984-47BC-8444-98F80F475B4E}" name="fieldtype" dataDxfId="25"/>
    <tableColumn id="7" xr3:uid="{B61A916C-E88D-4804-A4AB-E8AABA914989}" name="description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2669721-0095-4345-8B6C-3D32F56BE57E}" name="mappings" displayName="mappings" ref="A1:W3" totalsRowShown="0">
  <autoFilter ref="A1:W3" xr:uid="{02669721-0095-4345-8B6C-3D32F56BE57E}"/>
  <tableColumns count="23">
    <tableColumn id="1" xr3:uid="{79597FFA-5AFF-4457-8323-7EC82DB99A99}" name="id" dataDxfId="23"/>
    <tableColumn id="2" xr3:uid="{0F62BA94-BD1C-4CBE-A424-ACC0D3F9F206}" name="status" dataDxfId="22"/>
    <tableColumn id="3" xr3:uid="{10020E37-39D2-4A8B-BFD0-52A278A255CC}" name="sourcefield" dataDxfId="21"/>
    <tableColumn id="4" xr3:uid="{16CF39A9-3A70-4134-90BC-C2A9BECEBB1F}" name="System" dataDxfId="20">
      <calculatedColumnFormula>VLOOKUP(mappings[[#This Row],[sourcefield]],fields[#All],2,FALSE)</calculatedColumnFormula>
    </tableColumn>
    <tableColumn id="5" xr3:uid="{BEAC1D98-4EC5-45FF-9B4A-E8586F2AEAA8}" name="Genericobject" dataDxfId="19">
      <calculatedColumnFormula>VLOOKUP(mappings[[#This Row],[sourcefield]],fields[#All],3,FALSE)</calculatedColumnFormula>
    </tableColumn>
    <tableColumn id="6" xr3:uid="{AB6F8FDB-AA52-4E8D-ADDC-A704948EA952}" name="Object " dataDxfId="18">
      <calculatedColumnFormula>VLOOKUP(mappings[[#This Row],[sourcefield]],fields[#All],4,FALSE)</calculatedColumnFormula>
    </tableColumn>
    <tableColumn id="7" xr3:uid="{A33501B4-97BD-493C-B6A8-F2C7B58CF026}" name="Fieldname" dataDxfId="17">
      <calculatedColumnFormula>VLOOKUP(mappings[[#This Row],[sourcefield]],fields[#All],5,FALSE)</calculatedColumnFormula>
    </tableColumn>
    <tableColumn id="8" xr3:uid="{94DF92A8-1B9B-4E22-AD7E-8335393D33DD}" name="Fieldlength" dataDxfId="16">
      <calculatedColumnFormula>VLOOKUP(mappings[[#This Row],[sourcefield]],fields[#All],6,FALSE)</calculatedColumnFormula>
    </tableColumn>
    <tableColumn id="9" xr3:uid="{E1B2D88A-E0AC-46D0-A862-CEF425D70F49}" name="fieldtype" dataDxfId="15">
      <calculatedColumnFormula>VLOOKUP(mappings[[#This Row],[sourcefield]],fields[#All],7,FALSE)</calculatedColumnFormula>
    </tableColumn>
    <tableColumn id="10" xr3:uid="{84EEFAD7-A28D-4893-99C2-98274D42AD04}" name="description" dataDxfId="14">
      <calculatedColumnFormula>VLOOKUP(mappings[[#This Row],[sourcefield]],fields[#All],8,FALSE)</calculatedColumnFormula>
    </tableColumn>
    <tableColumn id="11" xr3:uid="{F2364D2F-7A2A-497C-9DB3-5025FD1DCB2F}" name="middleware" dataDxfId="13">
      <calculatedColumnFormula>VLOOKUP(mappings[[#This Row],[sourcefield]],fields[#All],3,FALSE)</calculatedColumnFormula>
    </tableColumn>
    <tableColumn id="12" xr3:uid="{7861AD07-FF50-48C6-A79B-1876A3F0B104}" name="direction" dataDxfId="12">
      <calculatedColumnFormula>VLOOKUP(mappings[[#This Row],[sourcefield]],fields[#All],3,FALSE)</calculatedColumnFormula>
    </tableColumn>
    <tableColumn id="21" xr3:uid="{96EF2A3B-FBA6-4A8A-96B0-AAA822436997}" name="operation" dataDxfId="11"/>
    <tableColumn id="22" xr3:uid="{55EE2817-70A5-4109-AB16-D542079A51BF}" name="type" dataDxfId="10">
      <calculatedColumnFormula>VLOOKUP(mappings[[#This Row],[operation]],Tableau5[#All],2,FALSE)</calculatedColumnFormula>
    </tableColumn>
    <tableColumn id="23" xr3:uid="{A1F430A1-4899-4843-BEE6-94FDF3204A9C}" name="function" dataDxfId="9">
      <calculatedColumnFormula>VLOOKUP(mappings[[#This Row],[operation]],Tableau5[#All],3,FALSE)</calculatedColumnFormula>
    </tableColumn>
    <tableColumn id="13" xr3:uid="{41E9B9BE-A0C3-4DEE-8CA9-36344CD246A4}" name="destinationfield" dataDxfId="8">
      <calculatedColumnFormula>VLOOKUP(mappings[[#This Row],[sourcefield]],fields[#All],3,FALSE)</calculatedColumnFormula>
    </tableColumn>
    <tableColumn id="14" xr3:uid="{42065A19-460D-4257-922C-E0F2F270914F}" name="System2" dataDxfId="7">
      <calculatedColumnFormula>VLOOKUP(mappings[[#This Row],[destinationfield]],fields[#All],2,FALSE)</calculatedColumnFormula>
    </tableColumn>
    <tableColumn id="15" xr3:uid="{468C17F5-6E69-4155-B490-E801F4468B7E}" name="Genericobject2" dataDxfId="6">
      <calculatedColumnFormula>VLOOKUP(mappings[[#This Row],[destinationfield]],fields[#All],3,FALSE)</calculatedColumnFormula>
    </tableColumn>
    <tableColumn id="16" xr3:uid="{267B2D15-ECCC-4E43-9126-459928758C71}" name="Object2" dataDxfId="5">
      <calculatedColumnFormula>VLOOKUP(mappings[[#This Row],[destinationfield]],fields[#All],4,FALSE)</calculatedColumnFormula>
    </tableColumn>
    <tableColumn id="17" xr3:uid="{480D8CEA-B6F7-4979-8DFC-5EC334EB30B1}" name="Fieldname2" dataDxfId="4">
      <calculatedColumnFormula>VLOOKUP(mappings[[#This Row],[destinationfield]],fields[#All],5,FALSE)</calculatedColumnFormula>
    </tableColumn>
    <tableColumn id="18" xr3:uid="{4198458C-345D-4EE8-8BD3-8978F8F2B818}" name="Fieldlength2" dataDxfId="3">
      <calculatedColumnFormula>VLOOKUP(mappings[[#This Row],[destinationfield]],fields[#All],6,FALSE)</calculatedColumnFormula>
    </tableColumn>
    <tableColumn id="19" xr3:uid="{D49F4B4D-AEE7-41C1-9984-1E267CA63378}" name="fieldtype2" dataDxfId="2">
      <calculatedColumnFormula>VLOOKUP(mappings[[#This Row],[destinationfield]],fields[#All],7,FALSE)</calculatedColumnFormula>
    </tableColumn>
    <tableColumn id="20" xr3:uid="{84D8EE40-1BB7-447D-A1FB-57F87933C89E}" name="description2" dataDxfId="1">
      <calculatedColumnFormula>VLOOKUP(mappings[[#This Row],[destinationfield]],fields[#All],8,FALSE)</calculatedColumnFormula>
    </tableColumn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7BCBBE0-FB70-40F3-8E9B-C0EB96B71AF8}" name="Tableau5" displayName="Tableau5" ref="A1:E2" totalsRowShown="0">
  <autoFilter ref="A1:E2" xr:uid="{87BCBBE0-FB70-40F3-8E9B-C0EB96B71AF8}"/>
  <tableColumns count="5">
    <tableColumn id="1" xr3:uid="{9EE85CB1-A216-4DC2-9C58-D5C755D4AE31}" name="uid"/>
    <tableColumn id="2" xr3:uid="{9CBFB19C-5EE2-483E-8B71-99514054E061}" name="type"/>
    <tableColumn id="3" xr3:uid="{8FDEDF70-11DC-4219-9240-77353964DA65}" name="function"/>
    <tableColumn id="4" xr3:uid="{326994C7-E513-4712-A91E-D9A60D476DED}" name="description"/>
    <tableColumn id="5" xr3:uid="{225E520B-254D-419B-AC0C-2C612BFDF2C6}" name="link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5E0FF-AD83-4E83-B3FD-931C2E6A0680}">
  <dimension ref="A1:H122"/>
  <sheetViews>
    <sheetView tabSelected="1" workbookViewId="0">
      <selection activeCell="I73" sqref="I73"/>
    </sheetView>
  </sheetViews>
  <sheetFormatPr defaultRowHeight="15"/>
  <cols>
    <col min="1" max="1" width="9.85546875" customWidth="1"/>
    <col min="2" max="2" width="9.85546875" bestFit="1" customWidth="1"/>
    <col min="3" max="3" width="17.7109375" bestFit="1" customWidth="1"/>
    <col min="4" max="4" width="24.7109375" bestFit="1" customWidth="1"/>
    <col min="5" max="5" width="23.7109375" bestFit="1" customWidth="1"/>
    <col min="6" max="6" width="13.28515625" bestFit="1" customWidth="1"/>
    <col min="7" max="7" width="19.7109375" bestFit="1" customWidth="1"/>
    <col min="8" max="8" width="29.71093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G2" s="1" t="s">
        <v>13</v>
      </c>
      <c r="H2" t="s">
        <v>14</v>
      </c>
    </row>
    <row r="3" spans="1:8">
      <c r="A3" t="s">
        <v>15</v>
      </c>
      <c r="B3" t="s">
        <v>9</v>
      </c>
      <c r="C3" t="s">
        <v>10</v>
      </c>
      <c r="D3" t="s">
        <v>11</v>
      </c>
      <c r="E3" t="s">
        <v>16</v>
      </c>
      <c r="G3" s="1" t="s">
        <v>17</v>
      </c>
      <c r="H3" t="s">
        <v>18</v>
      </c>
    </row>
    <row r="4" spans="1:8">
      <c r="A4" t="s">
        <v>19</v>
      </c>
      <c r="B4" t="s">
        <v>9</v>
      </c>
      <c r="C4" t="s">
        <v>10</v>
      </c>
      <c r="D4" t="s">
        <v>11</v>
      </c>
      <c r="E4" t="s">
        <v>20</v>
      </c>
      <c r="G4" s="1" t="s">
        <v>17</v>
      </c>
      <c r="H4" t="s">
        <v>21</v>
      </c>
    </row>
    <row r="5" spans="1:8">
      <c r="A5" t="s">
        <v>22</v>
      </c>
      <c r="B5" t="s">
        <v>9</v>
      </c>
      <c r="C5" t="s">
        <v>10</v>
      </c>
      <c r="D5" t="s">
        <v>11</v>
      </c>
      <c r="E5" t="s">
        <v>23</v>
      </c>
      <c r="G5" s="1" t="s">
        <v>17</v>
      </c>
      <c r="H5" t="s">
        <v>24</v>
      </c>
    </row>
    <row r="6" spans="1:8">
      <c r="A6" t="s">
        <v>25</v>
      </c>
      <c r="B6" t="s">
        <v>9</v>
      </c>
      <c r="C6" t="s">
        <v>10</v>
      </c>
      <c r="D6" t="s">
        <v>11</v>
      </c>
      <c r="E6" t="s">
        <v>7</v>
      </c>
      <c r="G6" s="1" t="s">
        <v>17</v>
      </c>
      <c r="H6" s="1" t="s">
        <v>26</v>
      </c>
    </row>
    <row r="7" spans="1:8">
      <c r="A7" t="s">
        <v>27</v>
      </c>
      <c r="B7" t="s">
        <v>9</v>
      </c>
      <c r="C7" t="s">
        <v>10</v>
      </c>
      <c r="D7" t="s">
        <v>11</v>
      </c>
      <c r="E7" t="s">
        <v>28</v>
      </c>
      <c r="G7" s="1" t="s">
        <v>17</v>
      </c>
      <c r="H7" s="1"/>
    </row>
    <row r="8" spans="1:8">
      <c r="A8" t="s">
        <v>29</v>
      </c>
      <c r="B8" t="s">
        <v>9</v>
      </c>
      <c r="C8" t="s">
        <v>10</v>
      </c>
      <c r="D8" t="s">
        <v>11</v>
      </c>
      <c r="E8" t="s">
        <v>30</v>
      </c>
      <c r="G8" s="1" t="s">
        <v>17</v>
      </c>
      <c r="H8" s="1" t="s">
        <v>31</v>
      </c>
    </row>
    <row r="9" spans="1:8">
      <c r="A9" t="s">
        <v>32</v>
      </c>
      <c r="B9" t="s">
        <v>9</v>
      </c>
      <c r="C9" t="s">
        <v>10</v>
      </c>
      <c r="D9" t="s">
        <v>11</v>
      </c>
      <c r="E9" t="s">
        <v>33</v>
      </c>
      <c r="G9" s="1" t="s">
        <v>17</v>
      </c>
      <c r="H9" s="1" t="s">
        <v>34</v>
      </c>
    </row>
    <row r="10" spans="1:8">
      <c r="A10" t="s">
        <v>35</v>
      </c>
      <c r="B10" t="s">
        <v>9</v>
      </c>
      <c r="C10" t="s">
        <v>10</v>
      </c>
      <c r="D10" t="s">
        <v>11</v>
      </c>
      <c r="E10" t="s">
        <v>36</v>
      </c>
      <c r="G10" s="1" t="s">
        <v>37</v>
      </c>
      <c r="H10" s="1" t="s">
        <v>38</v>
      </c>
    </row>
    <row r="11" spans="1:8">
      <c r="A11" t="s">
        <v>39</v>
      </c>
      <c r="B11" t="s">
        <v>9</v>
      </c>
      <c r="C11" t="s">
        <v>10</v>
      </c>
      <c r="D11" t="s">
        <v>11</v>
      </c>
      <c r="E11" t="s">
        <v>40</v>
      </c>
      <c r="G11" s="1" t="s">
        <v>17</v>
      </c>
      <c r="H11" s="1"/>
    </row>
    <row r="12" spans="1:8">
      <c r="A12" t="s">
        <v>41</v>
      </c>
      <c r="B12" t="s">
        <v>9</v>
      </c>
      <c r="C12" t="s">
        <v>10</v>
      </c>
      <c r="D12" t="s">
        <v>11</v>
      </c>
      <c r="E12" t="s">
        <v>42</v>
      </c>
      <c r="G12" s="1" t="s">
        <v>13</v>
      </c>
      <c r="H12" s="1" t="s">
        <v>43</v>
      </c>
    </row>
    <row r="13" spans="1:8">
      <c r="A13" t="s">
        <v>44</v>
      </c>
      <c r="B13" t="s">
        <v>9</v>
      </c>
      <c r="C13" t="s">
        <v>10</v>
      </c>
      <c r="D13" t="s">
        <v>45</v>
      </c>
      <c r="E13" t="s">
        <v>46</v>
      </c>
      <c r="G13" s="1" t="s">
        <v>17</v>
      </c>
      <c r="H13" s="1"/>
    </row>
    <row r="14" spans="1:8">
      <c r="A14" t="s">
        <v>47</v>
      </c>
      <c r="B14" t="s">
        <v>9</v>
      </c>
      <c r="C14" t="s">
        <v>10</v>
      </c>
      <c r="D14" t="s">
        <v>45</v>
      </c>
      <c r="E14" t="s">
        <v>48</v>
      </c>
      <c r="G14" s="1" t="s">
        <v>17</v>
      </c>
      <c r="H14" s="1"/>
    </row>
    <row r="15" spans="1:8">
      <c r="A15" t="s">
        <v>49</v>
      </c>
      <c r="B15" t="s">
        <v>9</v>
      </c>
      <c r="C15" t="s">
        <v>10</v>
      </c>
      <c r="D15" t="s">
        <v>45</v>
      </c>
      <c r="E15" t="s">
        <v>50</v>
      </c>
      <c r="G15" s="1" t="s">
        <v>17</v>
      </c>
      <c r="H15" s="1"/>
    </row>
    <row r="16" spans="1:8">
      <c r="A16" t="s">
        <v>51</v>
      </c>
      <c r="B16" t="s">
        <v>9</v>
      </c>
      <c r="C16" t="s">
        <v>10</v>
      </c>
      <c r="D16" t="s">
        <v>52</v>
      </c>
      <c r="E16" t="s">
        <v>12</v>
      </c>
      <c r="G16" s="1" t="s">
        <v>13</v>
      </c>
      <c r="H16" s="1"/>
    </row>
    <row r="17" spans="1:8">
      <c r="A17" t="s">
        <v>53</v>
      </c>
      <c r="B17" t="s">
        <v>9</v>
      </c>
      <c r="C17" t="s">
        <v>10</v>
      </c>
      <c r="D17" t="s">
        <v>52</v>
      </c>
      <c r="E17" t="s">
        <v>16</v>
      </c>
      <c r="G17" s="1" t="s">
        <v>17</v>
      </c>
      <c r="H17" s="1"/>
    </row>
    <row r="18" spans="1:8">
      <c r="A18" t="s">
        <v>54</v>
      </c>
      <c r="B18" t="s">
        <v>9</v>
      </c>
      <c r="C18" t="s">
        <v>10</v>
      </c>
      <c r="D18" t="s">
        <v>52</v>
      </c>
      <c r="E18" t="s">
        <v>55</v>
      </c>
      <c r="G18" s="1" t="s">
        <v>17</v>
      </c>
      <c r="H18" s="1"/>
    </row>
    <row r="19" spans="1:8">
      <c r="A19" t="s">
        <v>56</v>
      </c>
      <c r="B19" t="s">
        <v>9</v>
      </c>
      <c r="C19" t="s">
        <v>10</v>
      </c>
      <c r="D19" t="s">
        <v>57</v>
      </c>
      <c r="E19" t="s">
        <v>58</v>
      </c>
      <c r="G19" s="1" t="s">
        <v>59</v>
      </c>
      <c r="H19" s="1" t="s">
        <v>60</v>
      </c>
    </row>
    <row r="20" spans="1:8">
      <c r="A20" t="s">
        <v>61</v>
      </c>
      <c r="B20" t="s">
        <v>62</v>
      </c>
      <c r="C20" t="s">
        <v>10</v>
      </c>
      <c r="D20" t="s">
        <v>63</v>
      </c>
      <c r="E20" t="s">
        <v>12</v>
      </c>
      <c r="G20" t="s">
        <v>17</v>
      </c>
    </row>
    <row r="21" spans="1:8">
      <c r="A21" t="s">
        <v>64</v>
      </c>
      <c r="B21" t="s">
        <v>62</v>
      </c>
      <c r="C21" t="s">
        <v>10</v>
      </c>
      <c r="D21" t="s">
        <v>63</v>
      </c>
      <c r="E21" t="s">
        <v>16</v>
      </c>
      <c r="F21">
        <v>255</v>
      </c>
      <c r="G21" t="s">
        <v>65</v>
      </c>
    </row>
    <row r="22" spans="1:8">
      <c r="A22" t="s">
        <v>66</v>
      </c>
      <c r="B22" t="s">
        <v>62</v>
      </c>
      <c r="C22" t="s">
        <v>10</v>
      </c>
      <c r="D22" t="s">
        <v>63</v>
      </c>
      <c r="E22" t="s">
        <v>67</v>
      </c>
      <c r="F22">
        <v>1000</v>
      </c>
      <c r="G22" s="1" t="s">
        <v>68</v>
      </c>
    </row>
    <row r="23" spans="1:8">
      <c r="A23" t="s">
        <v>69</v>
      </c>
      <c r="B23" t="s">
        <v>62</v>
      </c>
      <c r="C23" t="s">
        <v>10</v>
      </c>
      <c r="D23" t="s">
        <v>63</v>
      </c>
      <c r="E23" t="s">
        <v>70</v>
      </c>
      <c r="G23" s="1" t="s">
        <v>71</v>
      </c>
    </row>
    <row r="24" spans="1:8">
      <c r="A24" t="s">
        <v>72</v>
      </c>
      <c r="B24" t="s">
        <v>62</v>
      </c>
      <c r="C24" t="s">
        <v>10</v>
      </c>
      <c r="D24" t="s">
        <v>63</v>
      </c>
      <c r="E24" t="s">
        <v>73</v>
      </c>
      <c r="G24" s="1" t="s">
        <v>74</v>
      </c>
    </row>
    <row r="25" spans="1:8">
      <c r="A25" t="s">
        <v>75</v>
      </c>
      <c r="B25" t="s">
        <v>62</v>
      </c>
      <c r="C25" t="s">
        <v>10</v>
      </c>
      <c r="D25" t="s">
        <v>63</v>
      </c>
      <c r="E25" t="s">
        <v>76</v>
      </c>
      <c r="F25" t="s">
        <v>77</v>
      </c>
      <c r="G25" s="1" t="s">
        <v>37</v>
      </c>
    </row>
    <row r="26" spans="1:8">
      <c r="A26" t="s">
        <v>78</v>
      </c>
      <c r="B26" t="s">
        <v>62</v>
      </c>
      <c r="C26" t="s">
        <v>10</v>
      </c>
      <c r="D26" t="s">
        <v>63</v>
      </c>
      <c r="E26" t="s">
        <v>79</v>
      </c>
      <c r="F26" t="s">
        <v>77</v>
      </c>
      <c r="G26" s="1" t="s">
        <v>37</v>
      </c>
    </row>
    <row r="27" spans="1:8">
      <c r="A27" t="s">
        <v>80</v>
      </c>
      <c r="B27" t="s">
        <v>62</v>
      </c>
      <c r="C27" t="s">
        <v>10</v>
      </c>
      <c r="D27" t="s">
        <v>63</v>
      </c>
      <c r="E27" t="s">
        <v>81</v>
      </c>
      <c r="F27" t="s">
        <v>77</v>
      </c>
      <c r="G27" s="1" t="s">
        <v>37</v>
      </c>
    </row>
    <row r="28" spans="1:8">
      <c r="A28" t="s">
        <v>82</v>
      </c>
      <c r="B28" t="s">
        <v>62</v>
      </c>
      <c r="C28" t="s">
        <v>10</v>
      </c>
      <c r="D28" t="s">
        <v>63</v>
      </c>
      <c r="E28" t="s">
        <v>83</v>
      </c>
      <c r="F28" t="s">
        <v>77</v>
      </c>
      <c r="G28" s="1" t="s">
        <v>37</v>
      </c>
    </row>
    <row r="29" spans="1:8">
      <c r="A29" t="s">
        <v>84</v>
      </c>
      <c r="B29" t="s">
        <v>62</v>
      </c>
      <c r="C29" t="s">
        <v>10</v>
      </c>
      <c r="D29" t="s">
        <v>63</v>
      </c>
      <c r="E29" t="s">
        <v>85</v>
      </c>
      <c r="G29" t="s">
        <v>86</v>
      </c>
    </row>
    <row r="30" spans="1:8">
      <c r="A30" t="s">
        <v>87</v>
      </c>
      <c r="B30" t="s">
        <v>62</v>
      </c>
      <c r="C30" t="s">
        <v>10</v>
      </c>
      <c r="D30" t="s">
        <v>63</v>
      </c>
      <c r="E30" t="s">
        <v>88</v>
      </c>
      <c r="F30" s="1">
        <v>4000</v>
      </c>
      <c r="G30" s="1" t="s">
        <v>89</v>
      </c>
    </row>
    <row r="31" spans="1:8">
      <c r="A31" t="s">
        <v>90</v>
      </c>
      <c r="B31" t="s">
        <v>62</v>
      </c>
      <c r="C31" t="s">
        <v>10</v>
      </c>
      <c r="D31" t="s">
        <v>63</v>
      </c>
      <c r="E31" t="s">
        <v>91</v>
      </c>
      <c r="F31" t="s">
        <v>92</v>
      </c>
      <c r="G31" s="5" t="s">
        <v>37</v>
      </c>
    </row>
    <row r="32" spans="1:8">
      <c r="A32" t="s">
        <v>93</v>
      </c>
      <c r="B32" t="s">
        <v>62</v>
      </c>
      <c r="C32" t="s">
        <v>10</v>
      </c>
      <c r="D32" t="s">
        <v>63</v>
      </c>
      <c r="E32" t="s">
        <v>94</v>
      </c>
      <c r="F32">
        <v>255</v>
      </c>
      <c r="G32" s="1" t="s">
        <v>65</v>
      </c>
    </row>
    <row r="33" spans="1:7">
      <c r="A33" t="s">
        <v>95</v>
      </c>
      <c r="B33" t="s">
        <v>62</v>
      </c>
      <c r="C33" t="s">
        <v>10</v>
      </c>
      <c r="D33" t="s">
        <v>63</v>
      </c>
      <c r="E33" t="s">
        <v>96</v>
      </c>
      <c r="F33">
        <v>180</v>
      </c>
      <c r="G33" s="1" t="s">
        <v>65</v>
      </c>
    </row>
    <row r="34" spans="1:7">
      <c r="A34" t="s">
        <v>97</v>
      </c>
      <c r="B34" t="s">
        <v>62</v>
      </c>
      <c r="C34" t="s">
        <v>10</v>
      </c>
      <c r="D34" t="s">
        <v>63</v>
      </c>
      <c r="E34" t="s">
        <v>98</v>
      </c>
      <c r="F34" t="s">
        <v>77</v>
      </c>
      <c r="G34" s="1" t="s">
        <v>37</v>
      </c>
    </row>
    <row r="35" spans="1:7">
      <c r="A35" t="s">
        <v>99</v>
      </c>
      <c r="B35" t="s">
        <v>9</v>
      </c>
      <c r="C35" t="s">
        <v>100</v>
      </c>
      <c r="D35" t="s">
        <v>101</v>
      </c>
      <c r="E35" s="9" t="s">
        <v>102</v>
      </c>
      <c r="G35" s="1" t="s">
        <v>13</v>
      </c>
    </row>
    <row r="36" spans="1:7">
      <c r="A36" t="s">
        <v>103</v>
      </c>
      <c r="B36" t="s">
        <v>9</v>
      </c>
      <c r="C36" t="s">
        <v>100</v>
      </c>
      <c r="D36" t="s">
        <v>101</v>
      </c>
      <c r="E36" t="s">
        <v>104</v>
      </c>
      <c r="G36" s="1" t="s">
        <v>17</v>
      </c>
    </row>
    <row r="37" spans="1:7">
      <c r="A37" t="s">
        <v>105</v>
      </c>
      <c r="B37" t="s">
        <v>9</v>
      </c>
      <c r="C37" t="s">
        <v>100</v>
      </c>
      <c r="D37" t="s">
        <v>101</v>
      </c>
      <c r="E37" t="s">
        <v>106</v>
      </c>
      <c r="G37" s="1" t="s">
        <v>17</v>
      </c>
    </row>
    <row r="38" spans="1:7">
      <c r="A38" t="s">
        <v>107</v>
      </c>
      <c r="B38" t="s">
        <v>9</v>
      </c>
      <c r="C38" t="s">
        <v>100</v>
      </c>
      <c r="D38" t="s">
        <v>101</v>
      </c>
      <c r="E38" t="s">
        <v>108</v>
      </c>
      <c r="G38" s="1" t="s">
        <v>17</v>
      </c>
    </row>
    <row r="39" spans="1:7">
      <c r="A39" t="s">
        <v>109</v>
      </c>
      <c r="B39" t="s">
        <v>9</v>
      </c>
      <c r="C39" t="s">
        <v>100</v>
      </c>
      <c r="D39" t="s">
        <v>101</v>
      </c>
      <c r="E39" t="s">
        <v>110</v>
      </c>
      <c r="G39" s="1" t="s">
        <v>17</v>
      </c>
    </row>
    <row r="40" spans="1:7">
      <c r="A40" t="s">
        <v>111</v>
      </c>
      <c r="B40" t="s">
        <v>9</v>
      </c>
      <c r="C40" t="s">
        <v>100</v>
      </c>
      <c r="D40" t="s">
        <v>101</v>
      </c>
      <c r="E40" t="s">
        <v>112</v>
      </c>
      <c r="G40" s="1" t="s">
        <v>17</v>
      </c>
    </row>
    <row r="41" spans="1:7">
      <c r="A41" t="s">
        <v>113</v>
      </c>
      <c r="B41" t="s">
        <v>9</v>
      </c>
      <c r="C41" t="s">
        <v>100</v>
      </c>
      <c r="D41" t="s">
        <v>101</v>
      </c>
      <c r="E41" t="s">
        <v>114</v>
      </c>
      <c r="G41" s="1" t="s">
        <v>17</v>
      </c>
    </row>
    <row r="42" spans="1:7">
      <c r="A42" t="s">
        <v>115</v>
      </c>
      <c r="B42" t="s">
        <v>9</v>
      </c>
      <c r="C42" t="s">
        <v>100</v>
      </c>
      <c r="D42" t="s">
        <v>101</v>
      </c>
      <c r="E42" t="s">
        <v>116</v>
      </c>
      <c r="G42" s="1" t="s">
        <v>17</v>
      </c>
    </row>
    <row r="43" spans="1:7">
      <c r="A43" t="s">
        <v>117</v>
      </c>
      <c r="B43" t="s">
        <v>9</v>
      </c>
      <c r="C43" t="s">
        <v>118</v>
      </c>
      <c r="D43" t="s">
        <v>118</v>
      </c>
      <c r="E43" t="s">
        <v>106</v>
      </c>
      <c r="G43" s="1" t="s">
        <v>17</v>
      </c>
    </row>
    <row r="44" spans="1:7">
      <c r="A44" t="s">
        <v>119</v>
      </c>
      <c r="B44" t="s">
        <v>9</v>
      </c>
      <c r="C44" s="5" t="s">
        <v>118</v>
      </c>
      <c r="D44" t="s">
        <v>118</v>
      </c>
      <c r="E44" t="s">
        <v>108</v>
      </c>
      <c r="G44" s="1" t="s">
        <v>17</v>
      </c>
    </row>
    <row r="45" spans="1:7">
      <c r="A45" t="s">
        <v>120</v>
      </c>
      <c r="B45" t="s">
        <v>9</v>
      </c>
      <c r="C45" s="5" t="s">
        <v>118</v>
      </c>
      <c r="D45" t="s">
        <v>118</v>
      </c>
      <c r="E45" t="s">
        <v>121</v>
      </c>
      <c r="G45" s="1" t="s">
        <v>17</v>
      </c>
    </row>
    <row r="46" spans="1:7">
      <c r="A46" t="s">
        <v>122</v>
      </c>
      <c r="B46" t="s">
        <v>9</v>
      </c>
      <c r="C46" s="5" t="s">
        <v>118</v>
      </c>
      <c r="D46" t="s">
        <v>118</v>
      </c>
      <c r="E46" t="s">
        <v>123</v>
      </c>
      <c r="G46" s="1" t="s">
        <v>17</v>
      </c>
    </row>
    <row r="47" spans="1:7">
      <c r="A47" t="s">
        <v>124</v>
      </c>
      <c r="B47" t="s">
        <v>9</v>
      </c>
      <c r="C47" s="5" t="s">
        <v>118</v>
      </c>
      <c r="D47" t="s">
        <v>118</v>
      </c>
      <c r="E47" t="s">
        <v>125</v>
      </c>
      <c r="G47" s="1" t="s">
        <v>17</v>
      </c>
    </row>
    <row r="48" spans="1:7">
      <c r="A48" t="s">
        <v>126</v>
      </c>
      <c r="B48" t="s">
        <v>9</v>
      </c>
      <c r="C48" s="5" t="s">
        <v>118</v>
      </c>
      <c r="D48" t="s">
        <v>118</v>
      </c>
      <c r="E48" t="s">
        <v>127</v>
      </c>
      <c r="G48" s="1" t="s">
        <v>17</v>
      </c>
    </row>
    <row r="49" spans="1:7">
      <c r="A49" t="s">
        <v>128</v>
      </c>
      <c r="B49" t="s">
        <v>9</v>
      </c>
      <c r="C49" s="5" t="s">
        <v>118</v>
      </c>
      <c r="D49" t="s">
        <v>118</v>
      </c>
      <c r="E49" t="s">
        <v>129</v>
      </c>
      <c r="G49" s="1" t="s">
        <v>17</v>
      </c>
    </row>
    <row r="50" spans="1:7">
      <c r="A50" t="s">
        <v>130</v>
      </c>
      <c r="B50" t="s">
        <v>9</v>
      </c>
      <c r="C50" s="5" t="s">
        <v>118</v>
      </c>
      <c r="D50" t="s">
        <v>118</v>
      </c>
      <c r="E50" t="s">
        <v>104</v>
      </c>
      <c r="G50" s="1" t="s">
        <v>17</v>
      </c>
    </row>
    <row r="51" spans="1:7">
      <c r="A51" t="s">
        <v>131</v>
      </c>
      <c r="B51" t="s">
        <v>9</v>
      </c>
      <c r="C51" s="5" t="s">
        <v>118</v>
      </c>
      <c r="D51" t="s">
        <v>118</v>
      </c>
      <c r="E51" t="s">
        <v>132</v>
      </c>
      <c r="G51" s="1" t="s">
        <v>17</v>
      </c>
    </row>
    <row r="52" spans="1:7">
      <c r="A52" t="s">
        <v>133</v>
      </c>
      <c r="B52" t="s">
        <v>9</v>
      </c>
      <c r="C52" t="s">
        <v>134</v>
      </c>
      <c r="D52" t="s">
        <v>134</v>
      </c>
      <c r="E52" t="s">
        <v>106</v>
      </c>
      <c r="G52" s="1" t="s">
        <v>17</v>
      </c>
    </row>
    <row r="53" spans="1:7">
      <c r="A53" t="s">
        <v>135</v>
      </c>
      <c r="B53" t="s">
        <v>9</v>
      </c>
      <c r="C53" t="s">
        <v>134</v>
      </c>
      <c r="D53" t="s">
        <v>134</v>
      </c>
      <c r="E53" t="s">
        <v>108</v>
      </c>
      <c r="G53" s="1" t="s">
        <v>17</v>
      </c>
    </row>
    <row r="54" spans="1:7">
      <c r="A54" t="s">
        <v>136</v>
      </c>
      <c r="B54" t="s">
        <v>9</v>
      </c>
      <c r="C54" t="s">
        <v>134</v>
      </c>
      <c r="D54" t="s">
        <v>134</v>
      </c>
      <c r="E54" t="s">
        <v>121</v>
      </c>
      <c r="G54" s="1" t="s">
        <v>17</v>
      </c>
    </row>
    <row r="55" spans="1:7">
      <c r="A55" t="s">
        <v>137</v>
      </c>
      <c r="B55" t="s">
        <v>9</v>
      </c>
      <c r="C55" t="s">
        <v>134</v>
      </c>
      <c r="D55" t="s">
        <v>134</v>
      </c>
      <c r="E55" t="s">
        <v>123</v>
      </c>
      <c r="G55" s="1" t="s">
        <v>17</v>
      </c>
    </row>
    <row r="56" spans="1:7">
      <c r="A56" t="s">
        <v>138</v>
      </c>
      <c r="B56" t="s">
        <v>9</v>
      </c>
      <c r="C56" t="s">
        <v>134</v>
      </c>
      <c r="D56" t="s">
        <v>134</v>
      </c>
      <c r="E56" t="s">
        <v>125</v>
      </c>
      <c r="G56" s="1" t="s">
        <v>17</v>
      </c>
    </row>
    <row r="57" spans="1:7">
      <c r="A57" t="s">
        <v>139</v>
      </c>
      <c r="B57" t="s">
        <v>9</v>
      </c>
      <c r="C57" t="s">
        <v>134</v>
      </c>
      <c r="D57" t="s">
        <v>134</v>
      </c>
      <c r="E57" t="s">
        <v>127</v>
      </c>
      <c r="G57" s="1" t="s">
        <v>17</v>
      </c>
    </row>
    <row r="58" spans="1:7">
      <c r="A58" t="s">
        <v>140</v>
      </c>
      <c r="B58" t="s">
        <v>9</v>
      </c>
      <c r="C58" t="s">
        <v>134</v>
      </c>
      <c r="D58" t="s">
        <v>134</v>
      </c>
      <c r="E58" t="s">
        <v>129</v>
      </c>
      <c r="G58" s="1" t="s">
        <v>17</v>
      </c>
    </row>
    <row r="59" spans="1:7">
      <c r="A59" t="s">
        <v>141</v>
      </c>
      <c r="B59" t="s">
        <v>9</v>
      </c>
      <c r="C59" t="s">
        <v>134</v>
      </c>
      <c r="D59" t="s">
        <v>134</v>
      </c>
      <c r="E59" t="s">
        <v>104</v>
      </c>
      <c r="G59" s="1" t="s">
        <v>17</v>
      </c>
    </row>
    <row r="60" spans="1:7">
      <c r="A60" t="s">
        <v>142</v>
      </c>
      <c r="B60" t="s">
        <v>9</v>
      </c>
      <c r="C60" t="s">
        <v>134</v>
      </c>
      <c r="D60" t="s">
        <v>134</v>
      </c>
      <c r="E60" t="s">
        <v>132</v>
      </c>
      <c r="G60" s="1" t="s">
        <v>17</v>
      </c>
    </row>
    <row r="61" spans="1:7">
      <c r="A61" t="s">
        <v>143</v>
      </c>
      <c r="B61" t="s">
        <v>62</v>
      </c>
      <c r="C61" t="s">
        <v>144</v>
      </c>
      <c r="D61" t="s">
        <v>145</v>
      </c>
      <c r="E61" s="6" t="s">
        <v>146</v>
      </c>
      <c r="G61" s="1" t="s">
        <v>65</v>
      </c>
    </row>
    <row r="62" spans="1:7">
      <c r="A62" t="s">
        <v>147</v>
      </c>
      <c r="B62" t="s">
        <v>62</v>
      </c>
      <c r="C62" t="s">
        <v>144</v>
      </c>
      <c r="D62" t="s">
        <v>145</v>
      </c>
      <c r="E62" t="s">
        <v>148</v>
      </c>
      <c r="G62" s="1" t="s">
        <v>16</v>
      </c>
    </row>
    <row r="63" spans="1:7">
      <c r="A63" t="s">
        <v>149</v>
      </c>
      <c r="B63" t="s">
        <v>62</v>
      </c>
      <c r="C63" t="s">
        <v>144</v>
      </c>
      <c r="D63" t="s">
        <v>145</v>
      </c>
      <c r="E63" t="s">
        <v>150</v>
      </c>
      <c r="G63" s="1" t="s">
        <v>65</v>
      </c>
    </row>
    <row r="64" spans="1:7">
      <c r="A64" t="s">
        <v>151</v>
      </c>
      <c r="B64" t="s">
        <v>62</v>
      </c>
      <c r="C64" t="s">
        <v>144</v>
      </c>
      <c r="D64" t="s">
        <v>145</v>
      </c>
      <c r="E64" t="s">
        <v>152</v>
      </c>
      <c r="G64" s="1" t="s">
        <v>153</v>
      </c>
    </row>
    <row r="65" spans="1:7">
      <c r="A65" t="s">
        <v>154</v>
      </c>
      <c r="B65" t="s">
        <v>62</v>
      </c>
      <c r="C65" t="s">
        <v>144</v>
      </c>
      <c r="D65" t="s">
        <v>145</v>
      </c>
      <c r="E65" t="s">
        <v>155</v>
      </c>
      <c r="F65">
        <v>80</v>
      </c>
      <c r="G65" s="1" t="s">
        <v>65</v>
      </c>
    </row>
    <row r="66" spans="1:7">
      <c r="A66" t="s">
        <v>156</v>
      </c>
      <c r="B66" t="s">
        <v>62</v>
      </c>
      <c r="C66" t="s">
        <v>144</v>
      </c>
      <c r="D66" t="s">
        <v>145</v>
      </c>
      <c r="E66" t="s">
        <v>157</v>
      </c>
      <c r="G66" s="1" t="s">
        <v>74</v>
      </c>
    </row>
    <row r="67" spans="1:7">
      <c r="A67" t="s">
        <v>158</v>
      </c>
      <c r="B67" t="s">
        <v>62</v>
      </c>
      <c r="C67" t="s">
        <v>144</v>
      </c>
      <c r="D67" t="s">
        <v>145</v>
      </c>
      <c r="E67" t="s">
        <v>159</v>
      </c>
      <c r="F67">
        <v>80</v>
      </c>
      <c r="G67" s="1" t="s">
        <v>65</v>
      </c>
    </row>
    <row r="68" spans="1:7">
      <c r="A68" t="s">
        <v>160</v>
      </c>
      <c r="B68" t="s">
        <v>62</v>
      </c>
      <c r="C68" t="s">
        <v>144</v>
      </c>
      <c r="D68" t="s">
        <v>145</v>
      </c>
      <c r="E68" t="s">
        <v>161</v>
      </c>
      <c r="F68">
        <v>80</v>
      </c>
      <c r="G68" s="1" t="s">
        <v>65</v>
      </c>
    </row>
    <row r="69" spans="1:7">
      <c r="A69" t="s">
        <v>162</v>
      </c>
      <c r="B69" t="s">
        <v>62</v>
      </c>
      <c r="C69" t="s">
        <v>144</v>
      </c>
      <c r="D69" t="s">
        <v>145</v>
      </c>
      <c r="E69" t="s">
        <v>163</v>
      </c>
      <c r="F69">
        <v>80</v>
      </c>
      <c r="G69" s="1" t="s">
        <v>65</v>
      </c>
    </row>
    <row r="70" spans="1:7">
      <c r="A70" t="s">
        <v>164</v>
      </c>
      <c r="B70" t="s">
        <v>62</v>
      </c>
      <c r="C70" t="s">
        <v>144</v>
      </c>
      <c r="D70" t="s">
        <v>145</v>
      </c>
      <c r="E70" t="s">
        <v>165</v>
      </c>
      <c r="G70" s="1" t="s">
        <v>153</v>
      </c>
    </row>
    <row r="71" spans="1:7">
      <c r="A71" t="s">
        <v>166</v>
      </c>
      <c r="B71" t="s">
        <v>62</v>
      </c>
      <c r="C71" t="s">
        <v>144</v>
      </c>
      <c r="D71" t="s">
        <v>145</v>
      </c>
      <c r="E71" t="s">
        <v>167</v>
      </c>
      <c r="F71">
        <v>80</v>
      </c>
      <c r="G71" s="1" t="s">
        <v>65</v>
      </c>
    </row>
    <row r="72" spans="1:7">
      <c r="A72" t="s">
        <v>168</v>
      </c>
      <c r="B72" t="s">
        <v>62</v>
      </c>
      <c r="C72" t="s">
        <v>144</v>
      </c>
      <c r="D72" t="s">
        <v>145</v>
      </c>
      <c r="E72" t="s">
        <v>169</v>
      </c>
      <c r="G72" s="1" t="s">
        <v>74</v>
      </c>
    </row>
    <row r="73" spans="1:7">
      <c r="A73" t="s">
        <v>170</v>
      </c>
      <c r="B73" t="s">
        <v>62</v>
      </c>
      <c r="C73" t="s">
        <v>144</v>
      </c>
      <c r="D73" t="s">
        <v>145</v>
      </c>
      <c r="E73" t="s">
        <v>171</v>
      </c>
      <c r="F73">
        <v>80</v>
      </c>
      <c r="G73" s="1" t="s">
        <v>65</v>
      </c>
    </row>
    <row r="74" spans="1:7">
      <c r="A74" t="s">
        <v>172</v>
      </c>
      <c r="B74" t="s">
        <v>62</v>
      </c>
      <c r="C74" t="s">
        <v>144</v>
      </c>
      <c r="D74" t="s">
        <v>145</v>
      </c>
      <c r="E74" t="s">
        <v>173</v>
      </c>
      <c r="F74">
        <v>80</v>
      </c>
      <c r="G74" s="1" t="s">
        <v>65</v>
      </c>
    </row>
    <row r="75" spans="1:7">
      <c r="A75" t="s">
        <v>174</v>
      </c>
      <c r="B75" t="s">
        <v>62</v>
      </c>
      <c r="C75" t="s">
        <v>144</v>
      </c>
      <c r="D75" t="s">
        <v>145</v>
      </c>
      <c r="E75" t="s">
        <v>175</v>
      </c>
      <c r="F75">
        <v>80</v>
      </c>
      <c r="G75" s="1" t="s">
        <v>65</v>
      </c>
    </row>
    <row r="76" spans="1:7">
      <c r="A76" t="s">
        <v>176</v>
      </c>
      <c r="B76" t="s">
        <v>62</v>
      </c>
      <c r="C76" t="s">
        <v>144</v>
      </c>
      <c r="D76" t="s">
        <v>145</v>
      </c>
      <c r="E76" t="s">
        <v>177</v>
      </c>
      <c r="G76" s="1" t="s">
        <v>74</v>
      </c>
    </row>
    <row r="77" spans="1:7">
      <c r="A77" t="s">
        <v>178</v>
      </c>
      <c r="B77" t="s">
        <v>62</v>
      </c>
      <c r="C77" t="s">
        <v>144</v>
      </c>
      <c r="D77" t="s">
        <v>145</v>
      </c>
      <c r="E77" t="s">
        <v>104</v>
      </c>
      <c r="G77" s="1" t="s">
        <v>179</v>
      </c>
    </row>
    <row r="78" spans="1:7">
      <c r="A78" t="s">
        <v>180</v>
      </c>
      <c r="B78" t="s">
        <v>62</v>
      </c>
      <c r="C78" t="s">
        <v>144</v>
      </c>
      <c r="D78" t="s">
        <v>145</v>
      </c>
      <c r="E78" t="s">
        <v>7</v>
      </c>
      <c r="G78" s="1" t="s">
        <v>181</v>
      </c>
    </row>
    <row r="79" spans="1:7">
      <c r="A79" t="s">
        <v>182</v>
      </c>
      <c r="B79" t="s">
        <v>62</v>
      </c>
      <c r="C79" t="s">
        <v>144</v>
      </c>
      <c r="D79" t="s">
        <v>145</v>
      </c>
      <c r="E79" t="s">
        <v>132</v>
      </c>
      <c r="G79" s="1" t="s">
        <v>132</v>
      </c>
    </row>
    <row r="80" spans="1:7">
      <c r="A80" t="s">
        <v>183</v>
      </c>
      <c r="B80" t="s">
        <v>62</v>
      </c>
      <c r="C80" t="s">
        <v>144</v>
      </c>
      <c r="D80" t="s">
        <v>145</v>
      </c>
      <c r="E80" t="s">
        <v>184</v>
      </c>
      <c r="G80" s="1" t="s">
        <v>65</v>
      </c>
    </row>
    <row r="81" spans="1:7">
      <c r="A81" t="s">
        <v>185</v>
      </c>
      <c r="B81" t="s">
        <v>62</v>
      </c>
      <c r="C81" t="s">
        <v>186</v>
      </c>
      <c r="D81" t="s">
        <v>187</v>
      </c>
      <c r="E81" t="s">
        <v>146</v>
      </c>
      <c r="G81" s="1" t="s">
        <v>188</v>
      </c>
    </row>
    <row r="82" spans="1:7">
      <c r="A82" t="s">
        <v>189</v>
      </c>
      <c r="B82" t="s">
        <v>62</v>
      </c>
      <c r="C82" t="s">
        <v>186</v>
      </c>
      <c r="D82" t="s">
        <v>187</v>
      </c>
      <c r="E82" t="s">
        <v>190</v>
      </c>
      <c r="G82" s="1"/>
    </row>
    <row r="83" spans="1:7">
      <c r="A83" t="s">
        <v>191</v>
      </c>
      <c r="B83" t="s">
        <v>62</v>
      </c>
      <c r="C83" t="s">
        <v>186</v>
      </c>
      <c r="D83" t="s">
        <v>187</v>
      </c>
      <c r="E83" t="s">
        <v>192</v>
      </c>
      <c r="G83" s="1"/>
    </row>
    <row r="84" spans="1:7">
      <c r="A84" t="s">
        <v>193</v>
      </c>
      <c r="B84" t="s">
        <v>62</v>
      </c>
      <c r="C84" t="s">
        <v>186</v>
      </c>
      <c r="D84" t="s">
        <v>187</v>
      </c>
      <c r="E84" t="s">
        <v>194</v>
      </c>
      <c r="G84" s="1"/>
    </row>
    <row r="85" spans="1:7">
      <c r="A85" t="s">
        <v>195</v>
      </c>
      <c r="B85" t="s">
        <v>62</v>
      </c>
      <c r="C85" t="s">
        <v>186</v>
      </c>
      <c r="D85" t="s">
        <v>187</v>
      </c>
      <c r="G85" s="1"/>
    </row>
    <row r="86" spans="1:7">
      <c r="A86" t="s">
        <v>196</v>
      </c>
      <c r="B86" t="s">
        <v>62</v>
      </c>
      <c r="C86" t="s">
        <v>186</v>
      </c>
      <c r="D86" t="s">
        <v>187</v>
      </c>
      <c r="G86" s="1"/>
    </row>
    <row r="87" spans="1:7">
      <c r="A87" t="s">
        <v>197</v>
      </c>
      <c r="B87" t="s">
        <v>62</v>
      </c>
      <c r="C87" t="s">
        <v>186</v>
      </c>
      <c r="D87" t="s">
        <v>187</v>
      </c>
      <c r="G87" s="1"/>
    </row>
    <row r="88" spans="1:7">
      <c r="A88" t="s">
        <v>198</v>
      </c>
      <c r="B88" t="s">
        <v>62</v>
      </c>
      <c r="C88" t="s">
        <v>186</v>
      </c>
      <c r="D88" t="s">
        <v>187</v>
      </c>
      <c r="G88" s="1"/>
    </row>
    <row r="89" spans="1:7">
      <c r="A89" t="s">
        <v>199</v>
      </c>
      <c r="B89" t="s">
        <v>62</v>
      </c>
      <c r="C89" t="s">
        <v>186</v>
      </c>
      <c r="D89" t="s">
        <v>187</v>
      </c>
      <c r="G89" s="1"/>
    </row>
    <row r="90" spans="1:7">
      <c r="A90" t="s">
        <v>200</v>
      </c>
      <c r="B90" t="s">
        <v>9</v>
      </c>
      <c r="C90" t="s">
        <v>201</v>
      </c>
      <c r="D90" t="s">
        <v>202</v>
      </c>
      <c r="E90" t="s">
        <v>12</v>
      </c>
      <c r="G90" s="1" t="s">
        <v>13</v>
      </c>
    </row>
    <row r="91" spans="1:7">
      <c r="A91" t="s">
        <v>203</v>
      </c>
      <c r="B91" t="s">
        <v>9</v>
      </c>
      <c r="C91" t="s">
        <v>201</v>
      </c>
      <c r="D91" t="s">
        <v>202</v>
      </c>
      <c r="E91" t="s">
        <v>204</v>
      </c>
      <c r="G91" s="1" t="s">
        <v>17</v>
      </c>
    </row>
    <row r="92" spans="1:7">
      <c r="A92" t="s">
        <v>205</v>
      </c>
      <c r="B92" t="s">
        <v>9</v>
      </c>
      <c r="C92" t="s">
        <v>201</v>
      </c>
      <c r="D92" t="s">
        <v>202</v>
      </c>
      <c r="E92" s="8" t="s">
        <v>37</v>
      </c>
      <c r="G92" s="1" t="s">
        <v>17</v>
      </c>
    </row>
    <row r="93" spans="1:7">
      <c r="A93" t="s">
        <v>206</v>
      </c>
      <c r="B93" t="s">
        <v>9</v>
      </c>
      <c r="C93" t="s">
        <v>201</v>
      </c>
      <c r="D93" t="s">
        <v>202</v>
      </c>
      <c r="E93" t="s">
        <v>207</v>
      </c>
      <c r="G93" s="1" t="s">
        <v>17</v>
      </c>
    </row>
    <row r="94" spans="1:7">
      <c r="A94" t="s">
        <v>208</v>
      </c>
      <c r="B94" t="s">
        <v>9</v>
      </c>
      <c r="C94" t="s">
        <v>201</v>
      </c>
      <c r="D94" t="s">
        <v>202</v>
      </c>
      <c r="E94" t="s">
        <v>209</v>
      </c>
      <c r="G94" s="1" t="s">
        <v>17</v>
      </c>
    </row>
    <row r="95" spans="1:7">
      <c r="A95" t="s">
        <v>210</v>
      </c>
      <c r="B95" t="s">
        <v>9</v>
      </c>
      <c r="C95" t="s">
        <v>201</v>
      </c>
      <c r="D95" t="s">
        <v>202</v>
      </c>
      <c r="E95" t="s">
        <v>177</v>
      </c>
      <c r="G95" s="1" t="s">
        <v>17</v>
      </c>
    </row>
    <row r="96" spans="1:7">
      <c r="A96" t="s">
        <v>211</v>
      </c>
      <c r="B96" t="s">
        <v>9</v>
      </c>
      <c r="C96" t="s">
        <v>201</v>
      </c>
      <c r="D96" t="s">
        <v>202</v>
      </c>
      <c r="E96" t="s">
        <v>212</v>
      </c>
      <c r="G96" s="1" t="s">
        <v>213</v>
      </c>
    </row>
    <row r="97" spans="1:7">
      <c r="A97" t="s">
        <v>214</v>
      </c>
      <c r="B97" t="s">
        <v>9</v>
      </c>
      <c r="C97" t="s">
        <v>201</v>
      </c>
      <c r="D97" t="s">
        <v>202</v>
      </c>
      <c r="E97" t="s">
        <v>215</v>
      </c>
      <c r="G97" s="1" t="s">
        <v>17</v>
      </c>
    </row>
    <row r="98" spans="1:7">
      <c r="A98" t="s">
        <v>216</v>
      </c>
      <c r="B98" t="s">
        <v>9</v>
      </c>
      <c r="C98" t="s">
        <v>201</v>
      </c>
      <c r="D98" t="s">
        <v>202</v>
      </c>
      <c r="E98" t="s">
        <v>217</v>
      </c>
      <c r="G98" s="1" t="s">
        <v>17</v>
      </c>
    </row>
    <row r="99" spans="1:7">
      <c r="A99" t="s">
        <v>218</v>
      </c>
      <c r="B99" t="s">
        <v>9</v>
      </c>
      <c r="C99" t="s">
        <v>201</v>
      </c>
      <c r="D99" t="s">
        <v>202</v>
      </c>
      <c r="E99" t="s">
        <v>219</v>
      </c>
      <c r="G99" s="1" t="s">
        <v>17</v>
      </c>
    </row>
    <row r="100" spans="1:7">
      <c r="A100" t="s">
        <v>220</v>
      </c>
      <c r="B100" t="s">
        <v>9</v>
      </c>
      <c r="C100" t="s">
        <v>201</v>
      </c>
      <c r="D100" t="s">
        <v>202</v>
      </c>
      <c r="E100" t="s">
        <v>221</v>
      </c>
      <c r="G100" s="1" t="s">
        <v>13</v>
      </c>
    </row>
    <row r="101" spans="1:7">
      <c r="A101" t="s">
        <v>222</v>
      </c>
      <c r="B101" t="s">
        <v>9</v>
      </c>
      <c r="C101" t="s">
        <v>201</v>
      </c>
      <c r="D101" t="s">
        <v>202</v>
      </c>
      <c r="E101" t="s">
        <v>223</v>
      </c>
      <c r="G101" s="1" t="s">
        <v>17</v>
      </c>
    </row>
    <row r="102" spans="1:7">
      <c r="A102" t="s">
        <v>224</v>
      </c>
      <c r="B102" t="s">
        <v>9</v>
      </c>
      <c r="C102" t="s">
        <v>201</v>
      </c>
      <c r="D102" t="s">
        <v>202</v>
      </c>
      <c r="E102" t="s">
        <v>225</v>
      </c>
      <c r="G102" s="1" t="s">
        <v>59</v>
      </c>
    </row>
    <row r="103" spans="1:7">
      <c r="A103" t="s">
        <v>226</v>
      </c>
      <c r="B103" t="s">
        <v>9</v>
      </c>
      <c r="C103" t="s">
        <v>201</v>
      </c>
      <c r="D103" t="s">
        <v>202</v>
      </c>
      <c r="E103" t="s">
        <v>227</v>
      </c>
      <c r="G103" s="1" t="s">
        <v>228</v>
      </c>
    </row>
    <row r="104" spans="1:7">
      <c r="A104" t="s">
        <v>229</v>
      </c>
      <c r="B104" t="s">
        <v>9</v>
      </c>
      <c r="C104" t="s">
        <v>201</v>
      </c>
      <c r="D104" t="s">
        <v>202</v>
      </c>
      <c r="E104" t="s">
        <v>230</v>
      </c>
      <c r="G104" s="1" t="s">
        <v>228</v>
      </c>
    </row>
    <row r="105" spans="1:7">
      <c r="A105" t="s">
        <v>231</v>
      </c>
      <c r="B105" t="s">
        <v>62</v>
      </c>
      <c r="C105" t="s">
        <v>201</v>
      </c>
      <c r="D105" t="s">
        <v>232</v>
      </c>
      <c r="E105" t="s">
        <v>233</v>
      </c>
      <c r="G105" s="1" t="s">
        <v>234</v>
      </c>
    </row>
    <row r="106" spans="1:7">
      <c r="A106" t="s">
        <v>235</v>
      </c>
      <c r="B106" t="s">
        <v>62</v>
      </c>
      <c r="C106" t="s">
        <v>201</v>
      </c>
      <c r="D106" t="s">
        <v>202</v>
      </c>
      <c r="E106" t="s">
        <v>236</v>
      </c>
      <c r="G106" s="1" t="s">
        <v>237</v>
      </c>
    </row>
    <row r="107" spans="1:7">
      <c r="A107" t="s">
        <v>238</v>
      </c>
      <c r="B107" t="s">
        <v>62</v>
      </c>
      <c r="C107" t="s">
        <v>201</v>
      </c>
      <c r="D107" t="s">
        <v>202</v>
      </c>
      <c r="E107" t="s">
        <v>239</v>
      </c>
      <c r="G107" s="1" t="s">
        <v>240</v>
      </c>
    </row>
    <row r="108" spans="1:7">
      <c r="A108" t="s">
        <v>241</v>
      </c>
      <c r="B108" t="s">
        <v>62</v>
      </c>
      <c r="C108" t="s">
        <v>201</v>
      </c>
      <c r="D108" t="s">
        <v>202</v>
      </c>
      <c r="E108" t="s">
        <v>242</v>
      </c>
      <c r="G108" s="1" t="s">
        <v>243</v>
      </c>
    </row>
    <row r="109" spans="1:7">
      <c r="A109" t="s">
        <v>244</v>
      </c>
      <c r="B109" t="s">
        <v>62</v>
      </c>
      <c r="C109" t="s">
        <v>201</v>
      </c>
      <c r="D109" t="s">
        <v>202</v>
      </c>
      <c r="E109" t="s">
        <v>245</v>
      </c>
      <c r="G109" s="1" t="s">
        <v>246</v>
      </c>
    </row>
    <row r="110" spans="1:7">
      <c r="A110" t="s">
        <v>247</v>
      </c>
      <c r="B110" t="s">
        <v>62</v>
      </c>
      <c r="C110" t="s">
        <v>201</v>
      </c>
      <c r="D110" t="s">
        <v>202</v>
      </c>
      <c r="E110" t="s">
        <v>248</v>
      </c>
      <c r="G110" s="1" t="s">
        <v>246</v>
      </c>
    </row>
    <row r="111" spans="1:7">
      <c r="A111" t="s">
        <v>249</v>
      </c>
      <c r="B111" t="s">
        <v>62</v>
      </c>
      <c r="C111" t="s">
        <v>201</v>
      </c>
      <c r="D111" t="s">
        <v>202</v>
      </c>
      <c r="E111" t="s">
        <v>250</v>
      </c>
      <c r="G111" s="1" t="s">
        <v>251</v>
      </c>
    </row>
    <row r="112" spans="1:7">
      <c r="A112" t="s">
        <v>252</v>
      </c>
      <c r="B112" t="s">
        <v>62</v>
      </c>
      <c r="C112" t="s">
        <v>201</v>
      </c>
      <c r="D112" t="s">
        <v>202</v>
      </c>
      <c r="E112" t="s">
        <v>253</v>
      </c>
      <c r="G112" s="7" t="s">
        <v>254</v>
      </c>
    </row>
    <row r="113" spans="1:7">
      <c r="A113" t="s">
        <v>255</v>
      </c>
      <c r="B113" t="s">
        <v>62</v>
      </c>
      <c r="C113" t="s">
        <v>201</v>
      </c>
      <c r="D113" t="s">
        <v>202</v>
      </c>
      <c r="E113" t="s">
        <v>256</v>
      </c>
      <c r="G113" t="s">
        <v>251</v>
      </c>
    </row>
    <row r="114" spans="1:7">
      <c r="A114" t="s">
        <v>257</v>
      </c>
      <c r="B114" t="s">
        <v>62</v>
      </c>
      <c r="C114" t="s">
        <v>201</v>
      </c>
      <c r="D114" t="s">
        <v>202</v>
      </c>
      <c r="E114" t="s">
        <v>88</v>
      </c>
      <c r="G114" s="1" t="s">
        <v>258</v>
      </c>
    </row>
    <row r="115" spans="1:7" hidden="1">
      <c r="G115" s="1"/>
    </row>
    <row r="116" spans="1:7" hidden="1">
      <c r="G116" s="1"/>
    </row>
    <row r="117" spans="1:7" hidden="1">
      <c r="G117" s="1"/>
    </row>
    <row r="118" spans="1:7" hidden="1">
      <c r="G118" s="1"/>
    </row>
    <row r="119" spans="1:7" hidden="1">
      <c r="G119" s="1"/>
    </row>
    <row r="120" spans="1:7" hidden="1">
      <c r="G120" s="1"/>
    </row>
    <row r="121" spans="1:7" hidden="1">
      <c r="G121" s="1"/>
    </row>
    <row r="122" spans="1:7" hidden="1">
      <c r="G122" s="1"/>
    </row>
  </sheetData>
  <conditionalFormatting sqref="A1:A1048576">
    <cfRule type="duplicateValues" dxfId="26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16BF6-E6AA-4A0D-9F92-6B374080BF5D}">
  <dimension ref="A1:W3"/>
  <sheetViews>
    <sheetView workbookViewId="0">
      <selection activeCell="E8" sqref="E8"/>
    </sheetView>
  </sheetViews>
  <sheetFormatPr defaultRowHeight="15"/>
  <cols>
    <col min="1" max="1" width="5.140625" style="2" bestFit="1" customWidth="1"/>
    <col min="2" max="2" width="8.85546875" style="2" bestFit="1" customWidth="1"/>
    <col min="3" max="3" width="13.28515625" style="3" bestFit="1" customWidth="1"/>
    <col min="4" max="4" width="9.85546875" bestFit="1" customWidth="1"/>
    <col min="5" max="5" width="16" bestFit="1" customWidth="1"/>
    <col min="6" max="6" width="9.7109375" bestFit="1" customWidth="1"/>
    <col min="7" max="7" width="12.7109375" bestFit="1" customWidth="1"/>
    <col min="8" max="8" width="13.28515625" bestFit="1" customWidth="1"/>
    <col min="9" max="9" width="11.42578125" bestFit="1" customWidth="1"/>
    <col min="10" max="10" width="13.42578125" bestFit="1" customWidth="1"/>
    <col min="11" max="11" width="14.140625" style="2" bestFit="1" customWidth="1"/>
    <col min="12" max="12" width="11.42578125" style="2" bestFit="1" customWidth="1"/>
    <col min="13" max="15" width="11.42578125" style="2" customWidth="1"/>
    <col min="16" max="16" width="17.7109375" style="3" bestFit="1" customWidth="1"/>
    <col min="17" max="17" width="11" bestFit="1" customWidth="1"/>
    <col min="18" max="18" width="17.140625" bestFit="1" customWidth="1"/>
    <col min="19" max="19" width="10.85546875" bestFit="1" customWidth="1"/>
    <col min="20" max="20" width="13.85546875" bestFit="1" customWidth="1"/>
    <col min="21" max="21" width="14.42578125" bestFit="1" customWidth="1"/>
    <col min="22" max="22" width="12.42578125" bestFit="1" customWidth="1"/>
    <col min="23" max="23" width="14.5703125" bestFit="1" customWidth="1"/>
  </cols>
  <sheetData>
    <row r="1" spans="1:23">
      <c r="A1" s="2" t="s">
        <v>12</v>
      </c>
      <c r="B1" s="2" t="s">
        <v>209</v>
      </c>
      <c r="C1" s="3" t="s">
        <v>259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s="2" t="s">
        <v>260</v>
      </c>
      <c r="L1" s="2" t="s">
        <v>261</v>
      </c>
      <c r="M1" s="2" t="s">
        <v>262</v>
      </c>
      <c r="N1" s="2" t="s">
        <v>263</v>
      </c>
      <c r="O1" s="2" t="s">
        <v>264</v>
      </c>
      <c r="P1" s="3" t="s">
        <v>265</v>
      </c>
      <c r="Q1" t="s">
        <v>266</v>
      </c>
      <c r="R1" t="s">
        <v>267</v>
      </c>
      <c r="S1" t="s">
        <v>268</v>
      </c>
      <c r="T1" t="s">
        <v>269</v>
      </c>
      <c r="U1" t="s">
        <v>270</v>
      </c>
      <c r="V1" t="s">
        <v>271</v>
      </c>
      <c r="W1" t="s">
        <v>272</v>
      </c>
    </row>
    <row r="2" spans="1:23">
      <c r="A2" s="2" t="s">
        <v>273</v>
      </c>
      <c r="C2" s="3" t="s">
        <v>8</v>
      </c>
      <c r="D2" t="str">
        <f>VLOOKUP(mappings[[#This Row],[sourcefield]],fields[#All],2,FALSE)</f>
        <v>woo</v>
      </c>
      <c r="E2" t="str">
        <f>VLOOKUP(mappings[[#This Row],[sourcefield]],fields[#All],3,FALSE)</f>
        <v>product</v>
      </c>
      <c r="F2" t="str">
        <f>VLOOKUP(mappings[[#This Row],[sourcefield]],fields[#All],4,FALSE)</f>
        <v>products</v>
      </c>
      <c r="G2" t="str">
        <f>VLOOKUP(mappings[[#This Row],[sourcefield]],fields[#All],5,FALSE)</f>
        <v>id</v>
      </c>
      <c r="H2">
        <f>VLOOKUP(mappings[[#This Row],[sourcefield]],fields[#All],6,FALSE)</f>
        <v>0</v>
      </c>
      <c r="I2" t="str">
        <f>VLOOKUP(mappings[[#This Row],[sourcefield]],fields[#All],7,FALSE)</f>
        <v>integer</v>
      </c>
      <c r="J2" t="str">
        <f>VLOOKUP(mappings[[#This Row],[sourcefield]],fields[#All],8,FALSE)</f>
        <v>Unique identifier for the resource.</v>
      </c>
      <c r="K2" s="2" t="s">
        <v>274</v>
      </c>
      <c r="L2" s="2" t="s">
        <v>275</v>
      </c>
      <c r="M2" s="2" t="s">
        <v>276</v>
      </c>
      <c r="N2" s="2" t="str">
        <f>VLOOKUP(mappings[[#This Row],[operation]],Tableau5[#All],2,FALSE)</f>
        <v>standard</v>
      </c>
      <c r="O2" s="2" t="str">
        <f>VLOOKUP(mappings[[#This Row],[operation]],Tableau5[#All],3,FALSE)</f>
        <v>merge</v>
      </c>
      <c r="P2" s="3" t="s">
        <v>61</v>
      </c>
      <c r="Q2" t="str">
        <f>VLOOKUP(mappings[[#This Row],[destinationfield]],fields[#All],2,FALSE)</f>
        <v>saf</v>
      </c>
      <c r="R2" t="str">
        <f>VLOOKUP(mappings[[#This Row],[destinationfield]],fields[#All],3,FALSE)</f>
        <v>product</v>
      </c>
      <c r="S2" t="str">
        <f>VLOOKUP(mappings[[#This Row],[destinationfield]],fields[#All],4,FALSE)</f>
        <v>product2</v>
      </c>
      <c r="T2" t="str">
        <f>VLOOKUP(mappings[[#This Row],[destinationfield]],fields[#All],5,FALSE)</f>
        <v>id</v>
      </c>
      <c r="U2">
        <f>VLOOKUP(mappings[[#This Row],[destinationfield]],fields[#All],6,FALSE)</f>
        <v>0</v>
      </c>
      <c r="V2" t="str">
        <f>VLOOKUP(mappings[[#This Row],[destinationfield]],fields[#All],7,FALSE)</f>
        <v>string</v>
      </c>
      <c r="W2">
        <f>VLOOKUP(mappings[[#This Row],[destinationfield]],fields[#All],8,FALSE)</f>
        <v>0</v>
      </c>
    </row>
    <row r="3" spans="1:23">
      <c r="A3" s="2" t="s">
        <v>277</v>
      </c>
      <c r="C3" s="4"/>
      <c r="D3" t="e">
        <f>VLOOKUP(mappings[[#This Row],[sourcefield]],fields[#All],2,FALSE)</f>
        <v>#N/A</v>
      </c>
      <c r="E3" t="e">
        <f>VLOOKUP(mappings[[#This Row],[sourcefield]],fields[#All],3,FALSE)</f>
        <v>#N/A</v>
      </c>
      <c r="F3" t="e">
        <f>VLOOKUP(mappings[[#This Row],[sourcefield]],fields[#All],4,FALSE)</f>
        <v>#N/A</v>
      </c>
      <c r="G3" t="e">
        <f>VLOOKUP(mappings[[#This Row],[sourcefield]],fields[#All],5,FALSE)</f>
        <v>#N/A</v>
      </c>
      <c r="H3" t="e">
        <f>VLOOKUP(mappings[[#This Row],[sourcefield]],fields[#All],6,FALSE)</f>
        <v>#N/A</v>
      </c>
      <c r="I3" t="e">
        <f>VLOOKUP(mappings[[#This Row],[sourcefield]],fields[#All],7,FALSE)</f>
        <v>#N/A</v>
      </c>
      <c r="J3" t="e">
        <f>VLOOKUP(mappings[[#This Row],[sourcefield]],fields[#All],8,FALSE)</f>
        <v>#N/A</v>
      </c>
      <c r="K3" s="2" t="e">
        <f>VLOOKUP(mappings[[#This Row],[sourcefield]],fields[#All],3,FALSE)</f>
        <v>#N/A</v>
      </c>
      <c r="L3" s="2" t="e">
        <f>VLOOKUP(mappings[[#This Row],[sourcefield]],fields[#All],3,FALSE)</f>
        <v>#N/A</v>
      </c>
      <c r="N3" s="2" t="e">
        <f>VLOOKUP(mappings[[#This Row],[operation]],Tableau5[#All],2,FALSE)</f>
        <v>#N/A</v>
      </c>
      <c r="O3" s="2" t="e">
        <f>VLOOKUP(mappings[[#This Row],[operation]],Tableau5[#All],3,FALSE)</f>
        <v>#N/A</v>
      </c>
      <c r="P3" s="3" t="e">
        <f>VLOOKUP(mappings[[#This Row],[sourcefield]],fields[#All],3,FALSE)</f>
        <v>#N/A</v>
      </c>
      <c r="Q3" t="e">
        <f>VLOOKUP(mappings[[#This Row],[destinationfield]],fields[#All],2,FALSE)</f>
        <v>#N/A</v>
      </c>
      <c r="R3" t="e">
        <f>VLOOKUP(mappings[[#This Row],[destinationfield]],fields[#All],3,FALSE)</f>
        <v>#N/A</v>
      </c>
      <c r="S3" t="e">
        <f>VLOOKUP(mappings[[#This Row],[destinationfield]],fields[#All],4,FALSE)</f>
        <v>#N/A</v>
      </c>
      <c r="T3" t="e">
        <f>VLOOKUP(mappings[[#This Row],[destinationfield]],fields[#All],5,FALSE)</f>
        <v>#N/A</v>
      </c>
      <c r="U3" t="e">
        <f>VLOOKUP(mappings[[#This Row],[destinationfield]],fields[#All],6,FALSE)</f>
        <v>#N/A</v>
      </c>
      <c r="V3" t="e">
        <f>VLOOKUP(mappings[[#This Row],[destinationfield]],fields[#All],7,FALSE)</f>
        <v>#N/A</v>
      </c>
      <c r="W3" t="e">
        <f>VLOOKUP(mappings[[#This Row],[destinationfield]],fields[#All],8,FALSE)</f>
        <v>#N/A</v>
      </c>
    </row>
  </sheetData>
  <conditionalFormatting sqref="A1:A1048576">
    <cfRule type="duplicateValues" dxfId="24" priority="1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424B1-3650-4ADD-B72E-8E27A5ED3D35}">
  <dimension ref="A1:E20"/>
  <sheetViews>
    <sheetView workbookViewId="0"/>
  </sheetViews>
  <sheetFormatPr defaultRowHeight="15"/>
  <cols>
    <col min="3" max="3" width="10.85546875" bestFit="1" customWidth="1"/>
  </cols>
  <sheetData>
    <row r="1" spans="1:5">
      <c r="A1" t="s">
        <v>0</v>
      </c>
      <c r="B1" t="s">
        <v>263</v>
      </c>
      <c r="C1" t="s">
        <v>264</v>
      </c>
      <c r="D1" t="s">
        <v>7</v>
      </c>
      <c r="E1" t="s">
        <v>278</v>
      </c>
    </row>
    <row r="2" spans="1:5">
      <c r="A2" t="s">
        <v>276</v>
      </c>
      <c r="B2" t="s">
        <v>279</v>
      </c>
      <c r="C2" t="s">
        <v>280</v>
      </c>
    </row>
    <row r="14" spans="1:5">
      <c r="B14" t="s">
        <v>279</v>
      </c>
      <c r="C14" t="s">
        <v>281</v>
      </c>
    </row>
    <row r="15" spans="1:5">
      <c r="B15" t="s">
        <v>282</v>
      </c>
      <c r="C15" t="s">
        <v>280</v>
      </c>
    </row>
    <row r="16" spans="1:5">
      <c r="B16" t="s">
        <v>283</v>
      </c>
      <c r="C16" t="s">
        <v>284</v>
      </c>
    </row>
    <row r="17" spans="3:3">
      <c r="C17" t="s">
        <v>285</v>
      </c>
    </row>
    <row r="18" spans="3:3">
      <c r="C18" t="s">
        <v>286</v>
      </c>
    </row>
    <row r="19" spans="3:3">
      <c r="C19" t="s">
        <v>287</v>
      </c>
    </row>
    <row r="20" spans="3:3">
      <c r="C20" t="s">
        <v>288</v>
      </c>
    </row>
  </sheetData>
  <conditionalFormatting sqref="A1:A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AE86B12B2892468B4E66F9F0873F45" ma:contentTypeVersion="15" ma:contentTypeDescription="Create a new document." ma:contentTypeScope="" ma:versionID="ff8b3f593a3b18c614f55e7798a0c7b7">
  <xsd:schema xmlns:xsd="http://www.w3.org/2001/XMLSchema" xmlns:xs="http://www.w3.org/2001/XMLSchema" xmlns:p="http://schemas.microsoft.com/office/2006/metadata/properties" xmlns:ns2="5e559808-d930-4970-91a1-bd6f234f8931" xmlns:ns3="e8aab117-5955-4390-81ce-465e4528e65f" targetNamespace="http://schemas.microsoft.com/office/2006/metadata/properties" ma:root="true" ma:fieldsID="edc24b2e0e41619a1ca2dcefd59f18a2" ns2:_="" ns3:_="">
    <xsd:import namespace="5e559808-d930-4970-91a1-bd6f234f8931"/>
    <xsd:import namespace="e8aab117-5955-4390-81ce-465e4528e6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Typededocument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559808-d930-4970-91a1-bd6f234f89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51ffef63-4b63-4086-abdd-edc9d15470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Typededocument" ma:index="21" nillable="true" ma:displayName="Type de document" ma:format="Dropdown" ma:internalName="Typededocument">
      <xsd:simpleType>
        <xsd:restriction base="dms:Text">
          <xsd:maxLength value="255"/>
        </xsd:restriction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aab117-5955-4390-81ce-465e4528e65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3d325a2c-4f9d-485a-8b53-02385c9b2f22}" ma:internalName="TaxCatchAll" ma:showField="CatchAllData" ma:web="e8aab117-5955-4390-81ce-465e4528e6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ypededocument xmlns="5e559808-d930-4970-91a1-bd6f234f8931" xsi:nil="true"/>
    <TaxCatchAll xmlns="e8aab117-5955-4390-81ce-465e4528e65f" xsi:nil="true"/>
    <lcf76f155ced4ddcb4097134ff3c332f xmlns="5e559808-d930-4970-91a1-bd6f234f893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DE1925E-AEDE-4259-9311-27BB633397C0}"/>
</file>

<file path=customXml/itemProps2.xml><?xml version="1.0" encoding="utf-8"?>
<ds:datastoreItem xmlns:ds="http://schemas.openxmlformats.org/officeDocument/2006/customXml" ds:itemID="{5800D0FD-DB3C-4EA8-A16F-2693805C2D95}"/>
</file>

<file path=customXml/itemProps3.xml><?xml version="1.0" encoding="utf-8"?>
<ds:datastoreItem xmlns:ds="http://schemas.openxmlformats.org/officeDocument/2006/customXml" ds:itemID="{6EAF7C8C-F3DE-427B-88A7-7AB43D5AEB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Lotfi Rebiai [EKVY]</cp:lastModifiedBy>
  <cp:revision/>
  <dcterms:created xsi:type="dcterms:W3CDTF">2023-10-04T08:34:21Z</dcterms:created>
  <dcterms:modified xsi:type="dcterms:W3CDTF">2023-11-28T11:47:33Z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0x01010051AE86B12B2892468B4E66F9F0873F45</vt:lpwstr>
  </property>
  <property fmtid="{D5CDD505-2E9C-101B-9397-08002B2CF9AE}" pid="3" name="MediaServiceImageTags">
    <vt:lpwstr/>
  </property>
</Properties>
</file>