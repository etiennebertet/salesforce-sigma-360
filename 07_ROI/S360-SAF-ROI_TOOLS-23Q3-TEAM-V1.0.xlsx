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02"/>
  <workbookPr/>
  <mc:AlternateContent xmlns:mc="http://schemas.openxmlformats.org/markup-compatibility/2006">
    <mc:Choice Requires="x15">
      <x15ac:absPath xmlns:x15ac="http://schemas.microsoft.com/office/spreadsheetml/2010/11/ac" url="D:\FORMATEUR CONSULTANT\Client\EDUMOTIV\Documents pédagogiques\ERP SAP\Module2 Budget des projets informatiques (Aide au FICO)\Cas pratiques\"/>
    </mc:Choice>
  </mc:AlternateContent>
  <xr:revisionPtr revIDLastSave="234" documentId="13_ncr:1_{7323F880-F1A8-46D0-A8F8-D66DD01C3064}" xr6:coauthVersionLast="47" xr6:coauthVersionMax="47" xr10:uidLastSave="{FA32057F-7A93-44B9-A28D-7AE6AF9004B6}"/>
  <bookViews>
    <workbookView xWindow="-108" yWindow="-108" windowWidth="23256" windowHeight="12456" firstSheet="6" activeTab="6" xr2:uid="{00000000-000D-0000-FFFF-FFFF00000000}"/>
  </bookViews>
  <sheets>
    <sheet name="Actualisation" sheetId="6" r:id="rId1"/>
    <sheet name="Erosion monétaire" sheetId="8" r:id="rId2"/>
    <sheet name="Inflation" sheetId="9" r:id="rId3"/>
    <sheet name="Amortissement" sheetId="5" r:id="rId4"/>
    <sheet name="CdR analytique" sheetId="3" r:id="rId5"/>
    <sheet name="ARRCAP" sheetId="2" r:id="rId6"/>
    <sheet name="FNT" sheetId="1" r:id="rId7"/>
    <sheet name="ROI" sheetId="11" r:id="rId8"/>
    <sheet name="Feuil1" sheetId="10" r:id="rId9"/>
  </sheets>
  <externalReferences>
    <externalReference r:id="rId10"/>
    <externalReference r:id="rId11"/>
  </externalReferences>
  <definedNames>
    <definedName name="Agencements">[1]Données!$D$6</definedName>
    <definedName name="Bâtiments">[1]Données!$D$5</definedName>
    <definedName name="Capital">[1]Données!$D$12</definedName>
    <definedName name="Consommation_mensuelle">[1]Données!$D$26</definedName>
    <definedName name="Déficit">[2]Questions!#REF!</definedName>
    <definedName name="Dotation_aux_amortissements">[2]Questions!#REF!</definedName>
    <definedName name="Dotation_globale">[2]Questions!#REF!</definedName>
    <definedName name="Emprunt">[1]Données!$D$13</definedName>
    <definedName name="Matériels">[1]Données!$D$7</definedName>
    <definedName name="Recettes">[2]Questions!#REF!</definedName>
    <definedName name="Recettes_annuelles">[1]Données!$D$32</definedName>
    <definedName name="Résultat">[2]Questions!#REF!</definedName>
    <definedName name="Salaires">[1]Données!$D$28</definedName>
    <definedName name="Services_extérieurs">[1]Données!$D$27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O32" i="1"/>
  <c r="O31" i="1"/>
  <c r="O30" i="1"/>
  <c r="N34" i="1"/>
  <c r="N30" i="1"/>
  <c r="N31" i="1"/>
  <c r="M33" i="1"/>
  <c r="M31" i="1"/>
  <c r="M30" i="1"/>
  <c r="L30" i="1"/>
  <c r="L33" i="1"/>
  <c r="L31" i="1"/>
  <c r="F14" i="1"/>
  <c r="G14" i="1"/>
  <c r="H14" i="1"/>
  <c r="E14" i="1"/>
  <c r="D14" i="1"/>
  <c r="C31" i="1"/>
  <c r="B30" i="11"/>
  <c r="B27" i="11"/>
  <c r="C27" i="11"/>
  <c r="B32" i="11"/>
  <c r="D27" i="11"/>
  <c r="E27" i="11"/>
  <c r="F27" i="11"/>
  <c r="G27" i="11"/>
  <c r="C4" i="1"/>
  <c r="G19" i="11"/>
  <c r="F19" i="11"/>
  <c r="E19" i="11"/>
  <c r="D19" i="11"/>
  <c r="C19" i="11"/>
  <c r="B19" i="11"/>
  <c r="G18" i="11"/>
  <c r="F18" i="11"/>
  <c r="E18" i="11"/>
  <c r="D18" i="11"/>
  <c r="C18" i="11"/>
  <c r="G16" i="11"/>
  <c r="F16" i="11"/>
  <c r="E16" i="11"/>
  <c r="D16" i="11"/>
  <c r="C16" i="11"/>
  <c r="B16" i="11"/>
  <c r="B22" i="11" s="1"/>
  <c r="C12" i="11"/>
  <c r="D12" i="11" s="1"/>
  <c r="E12" i="11" s="1"/>
  <c r="F12" i="11" s="1"/>
  <c r="G12" i="11" s="1"/>
  <c r="G10" i="11"/>
  <c r="G22" i="11" s="1"/>
  <c r="F10" i="11"/>
  <c r="F22" i="11" s="1"/>
  <c r="E10" i="11"/>
  <c r="E22" i="11" s="1"/>
  <c r="D10" i="11"/>
  <c r="D22" i="11" s="1"/>
  <c r="C10" i="11"/>
  <c r="C22" i="11" s="1"/>
  <c r="B5" i="11"/>
  <c r="G3" i="11"/>
  <c r="F3" i="11"/>
  <c r="E3" i="11"/>
  <c r="D3" i="11"/>
  <c r="C3" i="11"/>
  <c r="B3" i="11"/>
  <c r="C2" i="11"/>
  <c r="D2" i="11" s="1"/>
  <c r="E2" i="11" s="1"/>
  <c r="F2" i="11" s="1"/>
  <c r="G2" i="11" s="1"/>
  <c r="D21" i="1"/>
  <c r="E21" i="1"/>
  <c r="F21" i="1"/>
  <c r="G21" i="1"/>
  <c r="H21" i="1"/>
  <c r="C21" i="1"/>
  <c r="D6" i="10"/>
  <c r="C6" i="10" s="1"/>
  <c r="H16" i="10"/>
  <c r="F17" i="10"/>
  <c r="F18" i="10" s="1"/>
  <c r="G17" i="10"/>
  <c r="G18" i="10" s="1"/>
  <c r="B18" i="10"/>
  <c r="C18" i="10"/>
  <c r="D18" i="10"/>
  <c r="E18" i="10"/>
  <c r="B19" i="10"/>
  <c r="C19" i="10" s="1"/>
  <c r="D19" i="10" s="1"/>
  <c r="E19" i="10" s="1"/>
  <c r="F19" i="10" s="1"/>
  <c r="G19" i="10" s="1"/>
  <c r="C21" i="10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H12" i="1"/>
  <c r="G12" i="1"/>
  <c r="F12" i="1"/>
  <c r="E12" i="1"/>
  <c r="D12" i="1"/>
  <c r="C18" i="1"/>
  <c r="C24" i="1" s="1"/>
  <c r="C26" i="1" s="1"/>
  <c r="H4" i="1"/>
  <c r="G4" i="1"/>
  <c r="F4" i="1"/>
  <c r="E4" i="1"/>
  <c r="D4" i="1"/>
  <c r="H15" i="2"/>
  <c r="F15" i="2"/>
  <c r="H14" i="2"/>
  <c r="G14" i="2"/>
  <c r="C13" i="2"/>
  <c r="E14" i="2"/>
  <c r="E15" i="2"/>
  <c r="C7" i="2"/>
  <c r="D15" i="2"/>
  <c r="D14" i="2"/>
  <c r="C24" i="11" l="1"/>
  <c r="C25" i="11" s="1"/>
  <c r="D24" i="11"/>
  <c r="D25" i="11" s="1"/>
  <c r="E24" i="11"/>
  <c r="E25" i="11" s="1"/>
  <c r="F24" i="11"/>
  <c r="F25" i="11" s="1"/>
  <c r="G24" i="11"/>
  <c r="G25" i="11" s="1"/>
  <c r="B24" i="11"/>
  <c r="B25" i="11" s="1"/>
  <c r="E20" i="1"/>
  <c r="E18" i="1" s="1"/>
  <c r="F20" i="1"/>
  <c r="F18" i="1" s="1"/>
  <c r="F24" i="1" s="1"/>
  <c r="G20" i="1"/>
  <c r="G18" i="1" s="1"/>
  <c r="H20" i="1"/>
  <c r="H18" i="1" s="1"/>
  <c r="D20" i="1"/>
  <c r="D18" i="1" s="1"/>
  <c r="F26" i="1"/>
  <c r="F27" i="1"/>
  <c r="F29" i="1"/>
  <c r="F31" i="1" s="1"/>
  <c r="E24" i="1"/>
  <c r="G24" i="1"/>
  <c r="H24" i="1"/>
  <c r="B20" i="10"/>
  <c r="C27" i="1"/>
  <c r="C29" i="1" s="1"/>
  <c r="D24" i="1"/>
  <c r="D26" i="1"/>
  <c r="G7" i="2"/>
  <c r="D13" i="2"/>
  <c r="G15" i="2"/>
  <c r="G13" i="2" s="1"/>
  <c r="D7" i="2"/>
  <c r="H13" i="2"/>
  <c r="E13" i="2"/>
  <c r="F7" i="2"/>
  <c r="E7" i="2"/>
  <c r="H7" i="2"/>
  <c r="F14" i="2"/>
  <c r="F13" i="2" s="1"/>
  <c r="D7" i="10"/>
  <c r="C7" i="10" s="1"/>
  <c r="H17" i="10"/>
  <c r="H18" i="10" s="1"/>
  <c r="H19" i="10" s="1"/>
  <c r="H20" i="3"/>
  <c r="G20" i="3"/>
  <c r="F20" i="3"/>
  <c r="E20" i="3"/>
  <c r="D20" i="3"/>
  <c r="C20" i="3"/>
  <c r="C25" i="3" s="1"/>
  <c r="C27" i="3" s="1"/>
  <c r="D3" i="3"/>
  <c r="E3" i="3" s="1"/>
  <c r="F3" i="3" s="1"/>
  <c r="G3" i="3" s="1"/>
  <c r="H3" i="3" s="1"/>
  <c r="Q16" i="5"/>
  <c r="D27" i="1" l="1"/>
  <c r="D29" i="1" s="1"/>
  <c r="D31" i="1" s="1"/>
  <c r="H26" i="1"/>
  <c r="H27" i="1"/>
  <c r="G26" i="1"/>
  <c r="G27" i="1"/>
  <c r="G29" i="1" s="1"/>
  <c r="G31" i="1" s="1"/>
  <c r="E26" i="1"/>
  <c r="E27" i="1"/>
  <c r="C32" i="1"/>
  <c r="C33" i="1" s="1"/>
  <c r="D33" i="1" s="1"/>
  <c r="C28" i="3"/>
  <c r="C29" i="3" s="1"/>
  <c r="G11" i="3"/>
  <c r="G25" i="3" s="1"/>
  <c r="H11" i="3"/>
  <c r="H25" i="3" s="1"/>
  <c r="F11" i="3"/>
  <c r="F25" i="3" s="1"/>
  <c r="C4" i="3"/>
  <c r="B31" i="11" l="1"/>
  <c r="C30" i="11"/>
  <c r="D30" i="11" s="1"/>
  <c r="E30" i="11" s="1"/>
  <c r="F30" i="11" s="1"/>
  <c r="G30" i="11" s="1"/>
  <c r="E29" i="1"/>
  <c r="H29" i="1"/>
  <c r="H31" i="1" s="1"/>
  <c r="D32" i="1"/>
  <c r="E32" i="1" s="1"/>
  <c r="F32" i="1" s="1"/>
  <c r="G32" i="1" s="1"/>
  <c r="H32" i="1" s="1"/>
  <c r="H27" i="3"/>
  <c r="H28" i="3"/>
  <c r="H29" i="3" s="1"/>
  <c r="E11" i="3"/>
  <c r="E25" i="3" s="1"/>
  <c r="D11" i="3"/>
  <c r="D25" i="3" s="1"/>
  <c r="G27" i="3"/>
  <c r="G28" i="3" s="1"/>
  <c r="G29" i="3" s="1"/>
  <c r="F27" i="3"/>
  <c r="F28" i="3"/>
  <c r="F29" i="3" s="1"/>
  <c r="E31" i="1" l="1"/>
  <c r="E33" i="1" s="1"/>
  <c r="F33" i="1" s="1"/>
  <c r="G33" i="1" s="1"/>
  <c r="H33" i="1" s="1"/>
  <c r="C34" i="1"/>
  <c r="D27" i="3"/>
  <c r="D28" i="3" s="1"/>
  <c r="D29" i="3" s="1"/>
  <c r="E27" i="3"/>
  <c r="E28" i="3" s="1"/>
  <c r="E29" i="3" s="1"/>
  <c r="F4" i="5" l="1"/>
  <c r="D120" i="9"/>
  <c r="D119" i="9" s="1"/>
  <c r="D118" i="9" s="1"/>
  <c r="D117" i="9" s="1"/>
  <c r="D116" i="9" s="1"/>
  <c r="D115" i="9" s="1"/>
  <c r="D114" i="9" s="1"/>
  <c r="D113" i="9" s="1"/>
  <c r="D112" i="9" s="1"/>
  <c r="D111" i="9" s="1"/>
  <c r="D110" i="9" s="1"/>
  <c r="D109" i="9" s="1"/>
  <c r="D108" i="9" s="1"/>
  <c r="D107" i="9" s="1"/>
  <c r="D106" i="9" s="1"/>
  <c r="D105" i="9" s="1"/>
  <c r="D104" i="9" s="1"/>
  <c r="D103" i="9" s="1"/>
  <c r="D102" i="9" s="1"/>
  <c r="D101" i="9" s="1"/>
  <c r="D100" i="9" s="1"/>
  <c r="D99" i="9" s="1"/>
  <c r="D98" i="9" s="1"/>
  <c r="D97" i="9" s="1"/>
  <c r="D96" i="9" s="1"/>
  <c r="D95" i="9" s="1"/>
  <c r="D94" i="9" s="1"/>
  <c r="D93" i="9" s="1"/>
  <c r="D92" i="9" s="1"/>
  <c r="D91" i="9" s="1"/>
  <c r="D90" i="9" s="1"/>
  <c r="D89" i="9" s="1"/>
  <c r="D88" i="9" s="1"/>
  <c r="D87" i="9" s="1"/>
  <c r="D86" i="9" s="1"/>
  <c r="D85" i="9" s="1"/>
  <c r="D84" i="9" s="1"/>
  <c r="D83" i="9" s="1"/>
  <c r="D82" i="9" s="1"/>
  <c r="D81" i="9" s="1"/>
  <c r="D80" i="9" s="1"/>
  <c r="D79" i="9" s="1"/>
  <c r="D78" i="9" s="1"/>
  <c r="D77" i="9" s="1"/>
  <c r="D76" i="9" s="1"/>
  <c r="D75" i="9" s="1"/>
  <c r="D74" i="9" s="1"/>
  <c r="D73" i="9" s="1"/>
  <c r="D72" i="9" s="1"/>
  <c r="D71" i="9" s="1"/>
  <c r="D70" i="9" s="1"/>
  <c r="D69" i="9" s="1"/>
  <c r="D68" i="9" s="1"/>
  <c r="D67" i="9" s="1"/>
  <c r="D66" i="9" s="1"/>
  <c r="D65" i="9" s="1"/>
  <c r="D64" i="9" s="1"/>
  <c r="D63" i="9" s="1"/>
  <c r="D62" i="9" s="1"/>
  <c r="D61" i="9" s="1"/>
  <c r="D60" i="9" s="1"/>
  <c r="D59" i="9" s="1"/>
  <c r="D58" i="9" s="1"/>
  <c r="D57" i="9" s="1"/>
  <c r="D56" i="9" s="1"/>
  <c r="D55" i="9" s="1"/>
  <c r="D54" i="9" s="1"/>
  <c r="D53" i="9" s="1"/>
  <c r="D52" i="9" s="1"/>
  <c r="D51" i="9" s="1"/>
  <c r="D50" i="9" s="1"/>
  <c r="D49" i="9" s="1"/>
  <c r="D48" i="9" s="1"/>
  <c r="D47" i="9" s="1"/>
  <c r="D46" i="9" s="1"/>
  <c r="D45" i="9" s="1"/>
  <c r="D44" i="9" s="1"/>
  <c r="D43" i="9" s="1"/>
  <c r="D42" i="9" s="1"/>
  <c r="D41" i="9" s="1"/>
  <c r="D40" i="9" s="1"/>
  <c r="D39" i="9" s="1"/>
  <c r="D38" i="9" s="1"/>
  <c r="D37" i="9" s="1"/>
  <c r="D36" i="9" s="1"/>
  <c r="D35" i="9" s="1"/>
  <c r="D34" i="9" s="1"/>
  <c r="D33" i="9" s="1"/>
  <c r="D32" i="9" s="1"/>
  <c r="D31" i="9" s="1"/>
  <c r="D30" i="9" s="1"/>
  <c r="D29" i="9" s="1"/>
  <c r="D28" i="9" s="1"/>
  <c r="D27" i="9" s="1"/>
  <c r="D26" i="9" s="1"/>
  <c r="D25" i="9" s="1"/>
  <c r="D24" i="9" s="1"/>
  <c r="D23" i="9" s="1"/>
  <c r="D22" i="9" s="1"/>
  <c r="D21" i="9" s="1"/>
  <c r="D20" i="9" s="1"/>
  <c r="D19" i="9" s="1"/>
  <c r="D18" i="9" s="1"/>
  <c r="D17" i="9" s="1"/>
  <c r="D16" i="9" s="1"/>
  <c r="D15" i="9" s="1"/>
  <c r="D14" i="9" s="1"/>
  <c r="D13" i="9" s="1"/>
  <c r="D12" i="9" s="1"/>
  <c r="D11" i="9" s="1"/>
  <c r="D10" i="9" s="1"/>
  <c r="D9" i="9" s="1"/>
  <c r="D8" i="9" s="1"/>
  <c r="D7" i="9" s="1"/>
  <c r="D6" i="9" s="1"/>
  <c r="D5" i="9" s="1"/>
  <c r="D4" i="9" s="1"/>
  <c r="D3" i="9" s="1"/>
  <c r="E3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R4" i="5" l="1"/>
  <c r="D3" i="2"/>
  <c r="E3" i="2" s="1"/>
  <c r="F3" i="2" s="1"/>
  <c r="G3" i="2" s="1"/>
  <c r="H3" i="2" s="1"/>
  <c r="K34" i="1"/>
  <c r="K33" i="1"/>
  <c r="K32" i="1"/>
  <c r="K31" i="1"/>
  <c r="K30" i="1"/>
  <c r="K29" i="1"/>
  <c r="D3" i="1" l="1"/>
  <c r="E3" i="1" s="1"/>
  <c r="F3" i="1" s="1"/>
  <c r="G3" i="1" s="1"/>
  <c r="H3" i="1" s="1"/>
  <c r="L34" i="1" l="1"/>
  <c r="L26" i="1"/>
  <c r="M34" i="1" l="1"/>
  <c r="M26" i="1"/>
  <c r="L32" i="1"/>
  <c r="M32" i="1" l="1"/>
  <c r="C35" i="1" l="1"/>
  <c r="O33" i="1"/>
  <c r="N32" i="1"/>
  <c r="N33" i="1" s="1"/>
  <c r="Q28" i="1" l="1"/>
  <c r="Q29" i="1"/>
  <c r="R28" i="1"/>
  <c r="R29" i="1"/>
  <c r="R30" i="1" s="1"/>
  <c r="R31" i="1" s="1"/>
  <c r="R32" i="1" s="1"/>
  <c r="Q30" i="1"/>
  <c r="Q31" i="1" s="1"/>
  <c r="Q32" i="1" s="1"/>
  <c r="K27" i="1"/>
  <c r="D36" i="1" l="1"/>
  <c r="C36" i="1"/>
  <c r="C37" i="1"/>
  <c r="D37" i="1"/>
  <c r="B33" i="11"/>
  <c r="B29" i="11"/>
  <c r="D29" i="11"/>
  <c r="E29" i="11"/>
  <c r="F29" i="11"/>
  <c r="G29" i="11"/>
  <c r="C29" i="11"/>
  <c r="C31" i="11"/>
  <c r="D31" i="11"/>
  <c r="E31" i="11"/>
  <c r="F31" i="11"/>
  <c r="G31" i="11"/>
</calcChain>
</file>

<file path=xl/sharedStrings.xml><?xml version="1.0" encoding="utf-8"?>
<sst xmlns="http://schemas.openxmlformats.org/spreadsheetml/2006/main" count="212" uniqueCount="140">
  <si>
    <t>Vo =</t>
  </si>
  <si>
    <t>Vn =</t>
  </si>
  <si>
    <t>Tx =</t>
  </si>
  <si>
    <t>No</t>
  </si>
  <si>
    <t>Vn</t>
  </si>
  <si>
    <t>Vo</t>
  </si>
  <si>
    <t>Erosion monétaire 1920 - 2019</t>
  </si>
  <si>
    <t>Année</t>
  </si>
  <si>
    <t>Indice</t>
  </si>
  <si>
    <t>Year</t>
  </si>
  <si>
    <t>Index</t>
  </si>
  <si>
    <t>Erosion monétaire</t>
  </si>
  <si>
    <t>Inflation Moyenne Annuelle</t>
  </si>
  <si>
    <t>Inflateur Cumulé</t>
  </si>
  <si>
    <t>Etude préalable</t>
  </si>
  <si>
    <t>Valeur d'acquisition</t>
  </si>
  <si>
    <t>Serveurs</t>
  </si>
  <si>
    <t>Projet informatique</t>
  </si>
  <si>
    <t>Plan d'amortissement</t>
  </si>
  <si>
    <t>Mode linéaire</t>
  </si>
  <si>
    <t>durée</t>
  </si>
  <si>
    <t>ans</t>
  </si>
  <si>
    <t>Période</t>
  </si>
  <si>
    <t>Valeur résiduelle au 01/01</t>
  </si>
  <si>
    <t>Taux</t>
  </si>
  <si>
    <t>Amortissement</t>
  </si>
  <si>
    <t>Valeur résiduelle au 31/12</t>
  </si>
  <si>
    <t>Formation aux modules</t>
  </si>
  <si>
    <t>Déploiement PGI</t>
  </si>
  <si>
    <t>CdR analytique</t>
  </si>
  <si>
    <t>COMPTE DE RESULTAT ANALYTIQUE SUR 5 ANS Amortissement linéaire</t>
  </si>
  <si>
    <t>années</t>
  </si>
  <si>
    <t>Investissements</t>
  </si>
  <si>
    <t>Etudes préalables</t>
  </si>
  <si>
    <t>Exploitation</t>
  </si>
  <si>
    <t>Recettes d'exploitation</t>
  </si>
  <si>
    <t>Economies d'exploitation</t>
  </si>
  <si>
    <t>Augmentation des Revenus</t>
  </si>
  <si>
    <t>Réduction des coûts</t>
  </si>
  <si>
    <t>DSI 3 employés</t>
  </si>
  <si>
    <t>RH</t>
  </si>
  <si>
    <t>DSI 1employé</t>
  </si>
  <si>
    <t>Amélioration de la productivité</t>
  </si>
  <si>
    <t>Coûts d'exploitation</t>
  </si>
  <si>
    <t>Formations adaptées salariés</t>
  </si>
  <si>
    <t>Dotations aux amortissements</t>
  </si>
  <si>
    <t>Résultat d'exploitation (REX)</t>
  </si>
  <si>
    <t>% IS</t>
  </si>
  <si>
    <t>Impôts sociétés</t>
  </si>
  <si>
    <t>Résultat Net Comptable</t>
  </si>
  <si>
    <t>CAF</t>
  </si>
  <si>
    <t>Modèle ARRCAP</t>
  </si>
  <si>
    <t>année</t>
  </si>
  <si>
    <r>
      <rPr>
        <b/>
        <u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ugmentation des </t>
    </r>
    <r>
      <rPr>
        <b/>
        <u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>evenus</t>
    </r>
  </si>
  <si>
    <t>CRM Passer commande</t>
  </si>
  <si>
    <r>
      <rPr>
        <b/>
        <u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 xml:space="preserve">éduction des </t>
    </r>
    <r>
      <rPr>
        <b/>
        <u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>oûts</t>
    </r>
  </si>
  <si>
    <t>Economies SI</t>
  </si>
  <si>
    <t>Economie Stocks</t>
  </si>
  <si>
    <t>Economie Production</t>
  </si>
  <si>
    <t>Economie Commercial</t>
  </si>
  <si>
    <t>Economie RH</t>
  </si>
  <si>
    <t>Amélioration de la Productivité</t>
  </si>
  <si>
    <t>Productivité DSI</t>
  </si>
  <si>
    <t>Productivité RH</t>
  </si>
  <si>
    <t>turnover 2022= 289 461, 60 €</t>
  </si>
  <si>
    <t>ANALYTICAL INCOME ACCOUNT OVER 5 YEARS Linear depreciation</t>
  </si>
  <si>
    <t>YEARS</t>
  </si>
  <si>
    <t>Investments</t>
  </si>
  <si>
    <t>Prior studies by consultants</t>
  </si>
  <si>
    <t>External HR costs of decision-making for prior study</t>
  </si>
  <si>
    <t>Salesforce deployment by consultants</t>
  </si>
  <si>
    <t>External HR costs of decision-making for deployment</t>
  </si>
  <si>
    <t>Depreciation charge of IT materials</t>
  </si>
  <si>
    <t>Operating savings</t>
  </si>
  <si>
    <t>Net increase in sales</t>
  </si>
  <si>
    <t>Cost reduction</t>
  </si>
  <si>
    <t>Improved productivity</t>
  </si>
  <si>
    <t>Users training</t>
  </si>
  <si>
    <t>Depreciation charge</t>
  </si>
  <si>
    <t>Salesforce Licence</t>
  </si>
  <si>
    <t>Maintenance cost</t>
  </si>
  <si>
    <t>%IS</t>
  </si>
  <si>
    <t>Impôts IS</t>
  </si>
  <si>
    <t>Dépenses d'investissement</t>
  </si>
  <si>
    <t>FNT fin d'année</t>
  </si>
  <si>
    <t>FNT actualisé</t>
  </si>
  <si>
    <t>FNT fin d'année cumulés</t>
  </si>
  <si>
    <t>FNT fin d'année cumulés actualisé</t>
  </si>
  <si>
    <t>ANALYSE DE LA RENTABILITE</t>
  </si>
  <si>
    <t>Fin de période</t>
  </si>
  <si>
    <t>Flux nets cum. inf.</t>
  </si>
  <si>
    <t>Flux nets de Trésorerie (FNT)=CAF=Cash flow</t>
  </si>
  <si>
    <t>Année inf.</t>
  </si>
  <si>
    <t>Actualisation</t>
  </si>
  <si>
    <t>Année sup.</t>
  </si>
  <si>
    <t>Flux nets cum. sup.</t>
  </si>
  <si>
    <t>VAN</t>
  </si>
  <si>
    <t>Var. flux nets cum.</t>
  </si>
  <si>
    <t>VAN actualisée</t>
  </si>
  <si>
    <t>TRI</t>
  </si>
  <si>
    <t>TRI actualisé</t>
  </si>
  <si>
    <t>Délai de récupération</t>
  </si>
  <si>
    <t>Délai de récupération actualisé</t>
  </si>
  <si>
    <t>Last known turnover</t>
  </si>
  <si>
    <t>OPERATING</t>
  </si>
  <si>
    <t>Operating incomes</t>
  </si>
  <si>
    <t>Increase in sales</t>
  </si>
  <si>
    <t>Operating costs</t>
  </si>
  <si>
    <t>Earnings Before Interest and Taxes (EBIT)</t>
  </si>
  <si>
    <t>% Corporation tax</t>
  </si>
  <si>
    <t>Corporation tax</t>
  </si>
  <si>
    <t>Net income</t>
  </si>
  <si>
    <t>Cost-effectiveness analysis</t>
  </si>
  <si>
    <t xml:space="preserve">Net Cash Flow </t>
  </si>
  <si>
    <t>Discount</t>
  </si>
  <si>
    <t xml:space="preserve">Discounted Net Cash Flow </t>
  </si>
  <si>
    <t>Net Present Value (NPV)</t>
  </si>
  <si>
    <t>Discounted NPV</t>
  </si>
  <si>
    <t>Internal Rate of Return (IRR)</t>
  </si>
  <si>
    <t>Discounted IRR</t>
  </si>
  <si>
    <t>Payback period</t>
  </si>
  <si>
    <t>years</t>
  </si>
  <si>
    <t>8 month</t>
  </si>
  <si>
    <t>Discounted payback period</t>
  </si>
  <si>
    <t>Intérêts recapitalisés</t>
  </si>
  <si>
    <t>T%</t>
  </si>
  <si>
    <t>K0</t>
  </si>
  <si>
    <t>K2=</t>
  </si>
  <si>
    <t>K0*(1+t%)puissance2</t>
  </si>
  <si>
    <t>K0=</t>
  </si>
  <si>
    <t>K2/(1+t%)puissance2</t>
  </si>
  <si>
    <t>Flux</t>
  </si>
  <si>
    <t>Recettes encaissées</t>
  </si>
  <si>
    <t>Charges décaissées</t>
  </si>
  <si>
    <t>Marge=Résultat</t>
  </si>
  <si>
    <t>&lt;=SR</t>
  </si>
  <si>
    <t>CAF= Cash-flow=FNT</t>
  </si>
  <si>
    <t>Cumul entre Entrées-Sorties</t>
  </si>
  <si>
    <t>ROI durée</t>
  </si>
  <si>
    <t>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</si>
</sst>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#&quot; an(s)&quot;"/>
    <numFmt numFmtId="168" formatCode="##&quot; mois&quot;"/>
    <numFmt numFmtId="169" formatCode="0.000"/>
    <numFmt numFmtId="170" formatCode="0.0%"/>
    <numFmt numFmtId="171" formatCode="_-* #,##0_-;\-* #,##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u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b/>
      <i/>
      <sz val="12"/>
      <name val="Times New Roman"/>
      <family val="1"/>
    </font>
    <font>
      <sz val="9"/>
      <color rgb="FF424242"/>
      <name val="Verdana"/>
      <family val="2"/>
    </font>
    <font>
      <b/>
      <sz val="9"/>
      <color rgb="FF424242"/>
      <name val="Verdana"/>
      <family val="2"/>
    </font>
    <font>
      <sz val="9"/>
      <name val="Verdana"/>
      <family val="2"/>
    </font>
    <font>
      <i/>
      <sz val="9"/>
      <name val="Verdana"/>
      <family val="2"/>
    </font>
    <font>
      <sz val="10"/>
      <color rgb="FF004ABC"/>
      <name val="Verdana"/>
      <family val="2"/>
    </font>
    <font>
      <b/>
      <sz val="10"/>
      <color rgb="FF004ABC"/>
      <name val="Verdana"/>
      <family val="2"/>
    </font>
    <font>
      <b/>
      <sz val="10"/>
      <color rgb="FFFF0000"/>
      <name val="Verdana"/>
      <family val="2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0625"/>
    </fill>
    <fill>
      <patternFill patternType="solid">
        <fgColor indexed="8"/>
        <bgColor indexed="64"/>
      </patternFill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9"/>
      </bottom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 style="thin">
        <color indexed="9"/>
      </right>
      <top style="thin">
        <color indexed="23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33FF"/>
      </left>
      <right style="medium">
        <color rgb="FF0033FF"/>
      </right>
      <top style="medium">
        <color rgb="FF0033FF"/>
      </top>
      <bottom style="medium">
        <color rgb="FF0033FF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147">
    <xf numFmtId="0" fontId="0" fillId="0" borderId="0" xfId="0"/>
    <xf numFmtId="0" fontId="4" fillId="0" borderId="0" xfId="3" applyFont="1" applyAlignment="1">
      <alignment horizontal="right" vertical="top" wrapText="1"/>
    </xf>
    <xf numFmtId="0" fontId="3" fillId="0" borderId="0" xfId="3"/>
    <xf numFmtId="0" fontId="6" fillId="0" borderId="0" xfId="3" applyFont="1" applyAlignment="1">
      <alignment vertical="top" wrapText="1"/>
    </xf>
    <xf numFmtId="0" fontId="6" fillId="0" borderId="0" xfId="3" applyFont="1" applyAlignment="1">
      <alignment horizontal="right" vertical="top" wrapText="1"/>
    </xf>
    <xf numFmtId="0" fontId="7" fillId="2" borderId="0" xfId="3" applyFont="1" applyFill="1" applyAlignment="1">
      <alignment vertical="top" wrapText="1"/>
    </xf>
    <xf numFmtId="0" fontId="8" fillId="2" borderId="0" xfId="3" applyFont="1" applyFill="1" applyAlignment="1">
      <alignment horizontal="center" vertical="top" wrapText="1"/>
    </xf>
    <xf numFmtId="0" fontId="6" fillId="2" borderId="0" xfId="3" applyFont="1" applyFill="1" applyAlignment="1">
      <alignment vertical="top" wrapText="1"/>
    </xf>
    <xf numFmtId="3" fontId="6" fillId="2" borderId="1" xfId="3" applyNumberFormat="1" applyFont="1" applyFill="1" applyBorder="1" applyAlignment="1">
      <alignment horizontal="right" vertical="top" wrapText="1"/>
    </xf>
    <xf numFmtId="9" fontId="6" fillId="2" borderId="2" xfId="3" applyNumberFormat="1" applyFont="1" applyFill="1" applyBorder="1" applyAlignment="1">
      <alignment horizontal="right" vertical="top" wrapText="1"/>
    </xf>
    <xf numFmtId="3" fontId="6" fillId="2" borderId="2" xfId="3" applyNumberFormat="1" applyFont="1" applyFill="1" applyBorder="1" applyAlignment="1">
      <alignment horizontal="right" vertical="top" wrapText="1"/>
    </xf>
    <xf numFmtId="3" fontId="6" fillId="2" borderId="3" xfId="3" applyNumberFormat="1" applyFont="1" applyFill="1" applyBorder="1" applyAlignment="1">
      <alignment horizontal="right" vertical="top" wrapText="1"/>
    </xf>
    <xf numFmtId="3" fontId="6" fillId="2" borderId="0" xfId="3" applyNumberFormat="1" applyFont="1" applyFill="1" applyAlignment="1">
      <alignment horizontal="right" vertical="top" wrapText="1"/>
    </xf>
    <xf numFmtId="9" fontId="6" fillId="2" borderId="0" xfId="3" applyNumberFormat="1" applyFont="1" applyFill="1" applyAlignment="1">
      <alignment horizontal="right" vertical="top" wrapText="1"/>
    </xf>
    <xf numFmtId="4" fontId="0" fillId="0" borderId="4" xfId="0" applyNumberFormat="1" applyBorder="1" applyAlignment="1">
      <alignment horizontal="left" vertical="top" wrapText="1"/>
    </xf>
    <xf numFmtId="4" fontId="0" fillId="3" borderId="4" xfId="0" applyNumberFormat="1" applyFill="1" applyBorder="1" applyProtection="1">
      <protection locked="0"/>
    </xf>
    <xf numFmtId="4" fontId="0" fillId="0" borderId="0" xfId="0" applyNumberFormat="1"/>
    <xf numFmtId="0" fontId="10" fillId="0" borderId="0" xfId="0" applyFont="1"/>
    <xf numFmtId="4" fontId="0" fillId="0" borderId="4" xfId="0" applyNumberFormat="1" applyBorder="1" applyAlignment="1">
      <alignment horizontal="center" vertical="top" wrapText="1"/>
    </xf>
    <xf numFmtId="4" fontId="0" fillId="0" borderId="0" xfId="0" applyNumberFormat="1" applyAlignment="1">
      <alignment vertical="top" wrapText="1"/>
    </xf>
    <xf numFmtId="1" fontId="0" fillId="0" borderId="4" xfId="0" applyNumberFormat="1" applyBorder="1" applyAlignment="1">
      <alignment horizontal="center"/>
    </xf>
    <xf numFmtId="4" fontId="0" fillId="4" borderId="4" xfId="0" applyNumberFormat="1" applyFill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" fontId="0" fillId="0" borderId="4" xfId="0" applyNumberFormat="1" applyBorder="1"/>
    <xf numFmtId="4" fontId="10" fillId="0" borderId="0" xfId="0" applyNumberFormat="1" applyFont="1"/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top" wrapText="1"/>
    </xf>
    <xf numFmtId="3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11" xfId="0" applyBorder="1"/>
    <xf numFmtId="166" fontId="2" fillId="0" borderId="16" xfId="1" applyNumberFormat="1" applyFont="1" applyBorder="1"/>
    <xf numFmtId="166" fontId="2" fillId="0" borderId="17" xfId="1" applyNumberFormat="1" applyFont="1" applyBorder="1"/>
    <xf numFmtId="0" fontId="0" fillId="0" borderId="15" xfId="0" applyBorder="1"/>
    <xf numFmtId="166" fontId="0" fillId="0" borderId="16" xfId="1" applyNumberFormat="1" applyFont="1" applyBorder="1"/>
    <xf numFmtId="166" fontId="0" fillId="0" borderId="17" xfId="1" applyNumberFormat="1" applyFont="1" applyBorder="1"/>
    <xf numFmtId="0" fontId="0" fillId="0" borderId="16" xfId="0" applyBorder="1"/>
    <xf numFmtId="0" fontId="0" fillId="0" borderId="17" xfId="0" applyBorder="1"/>
    <xf numFmtId="9" fontId="9" fillId="0" borderId="16" xfId="2" applyFont="1" applyBorder="1" applyAlignment="1">
      <alignment horizontal="center"/>
    </xf>
    <xf numFmtId="166" fontId="0" fillId="0" borderId="16" xfId="0" applyNumberFormat="1" applyBorder="1"/>
    <xf numFmtId="166" fontId="0" fillId="0" borderId="17" xfId="0" applyNumberFormat="1" applyBorder="1"/>
    <xf numFmtId="0" fontId="0" fillId="0" borderId="18" xfId="0" applyBorder="1"/>
    <xf numFmtId="166" fontId="0" fillId="0" borderId="19" xfId="0" applyNumberFormat="1" applyBorder="1"/>
    <xf numFmtId="166" fontId="0" fillId="0" borderId="20" xfId="0" applyNumberFormat="1" applyBorder="1"/>
    <xf numFmtId="0" fontId="2" fillId="0" borderId="24" xfId="0" applyFont="1" applyBorder="1"/>
    <xf numFmtId="166" fontId="2" fillId="0" borderId="25" xfId="1" applyNumberFormat="1" applyFont="1" applyBorder="1"/>
    <xf numFmtId="166" fontId="2" fillId="0" borderId="26" xfId="1" applyNumberFormat="1" applyFont="1" applyBorder="1"/>
    <xf numFmtId="0" fontId="0" fillId="0" borderId="19" xfId="0" applyBorder="1"/>
    <xf numFmtId="0" fontId="0" fillId="0" borderId="20" xfId="0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7" xfId="0" applyFont="1" applyBorder="1"/>
    <xf numFmtId="166" fontId="2" fillId="0" borderId="28" xfId="1" applyNumberFormat="1" applyFont="1" applyBorder="1"/>
    <xf numFmtId="166" fontId="2" fillId="0" borderId="29" xfId="1" applyNumberFormat="1" applyFont="1" applyBorder="1"/>
    <xf numFmtId="0" fontId="2" fillId="0" borderId="30" xfId="0" applyFont="1" applyBorder="1"/>
    <xf numFmtId="0" fontId="0" fillId="0" borderId="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10" fontId="0" fillId="0" borderId="32" xfId="0" applyNumberFormat="1" applyBorder="1"/>
    <xf numFmtId="10" fontId="0" fillId="0" borderId="33" xfId="0" applyNumberFormat="1" applyBorder="1"/>
    <xf numFmtId="167" fontId="10" fillId="0" borderId="34" xfId="0" applyNumberFormat="1" applyFont="1" applyBorder="1"/>
    <xf numFmtId="168" fontId="10" fillId="0" borderId="35" xfId="0" applyNumberFormat="1" applyFont="1" applyBorder="1"/>
    <xf numFmtId="167" fontId="10" fillId="0" borderId="36" xfId="0" applyNumberFormat="1" applyFont="1" applyBorder="1"/>
    <xf numFmtId="168" fontId="10" fillId="0" borderId="37" xfId="0" applyNumberFormat="1" applyFont="1" applyBorder="1"/>
    <xf numFmtId="0" fontId="2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166" fontId="0" fillId="0" borderId="25" xfId="1" applyNumberFormat="1" applyFont="1" applyBorder="1"/>
    <xf numFmtId="166" fontId="0" fillId="0" borderId="26" xfId="1" applyNumberFormat="1" applyFont="1" applyBorder="1"/>
    <xf numFmtId="3" fontId="8" fillId="0" borderId="0" xfId="3" applyNumberFormat="1" applyFont="1" applyAlignment="1">
      <alignment horizontal="right" vertical="top" wrapText="1"/>
    </xf>
    <xf numFmtId="165" fontId="0" fillId="0" borderId="16" xfId="1" applyFont="1" applyBorder="1"/>
    <xf numFmtId="165" fontId="0" fillId="0" borderId="17" xfId="1" applyFont="1" applyBorder="1"/>
    <xf numFmtId="165" fontId="0" fillId="0" borderId="19" xfId="1" applyFont="1" applyBorder="1"/>
    <xf numFmtId="165" fontId="0" fillId="0" borderId="20" xfId="1" applyFont="1" applyBorder="1"/>
    <xf numFmtId="166" fontId="0" fillId="0" borderId="0" xfId="1" applyNumberFormat="1" applyFont="1" applyBorder="1"/>
    <xf numFmtId="166" fontId="0" fillId="0" borderId="14" xfId="0" applyNumberFormat="1" applyBorder="1"/>
    <xf numFmtId="0" fontId="0" fillId="0" borderId="12" xfId="0" applyBorder="1"/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8" xfId="1" applyNumberFormat="1" applyFont="1" applyBorder="1" applyAlignment="1">
      <alignment vertical="center"/>
    </xf>
    <xf numFmtId="0" fontId="0" fillId="0" borderId="7" xfId="0" applyBorder="1" applyAlignment="1">
      <alignment horizontal="center"/>
    </xf>
    <xf numFmtId="0" fontId="11" fillId="5" borderId="0" xfId="0" applyFont="1" applyFill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1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4" fillId="5" borderId="42" xfId="0" applyFont="1" applyFill="1" applyBorder="1" applyAlignment="1">
      <alignment horizontal="center"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14" fillId="5" borderId="40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39" xfId="0" applyFont="1" applyFill="1" applyBorder="1" applyAlignment="1">
      <alignment horizontal="center" vertical="center" wrapText="1"/>
    </xf>
    <xf numFmtId="169" fontId="12" fillId="5" borderId="43" xfId="0" applyNumberFormat="1" applyFont="1" applyFill="1" applyBorder="1" applyAlignment="1">
      <alignment horizontal="center" vertical="center" wrapText="1"/>
    </xf>
    <xf numFmtId="169" fontId="11" fillId="5" borderId="43" xfId="0" applyNumberFormat="1" applyFont="1" applyFill="1" applyBorder="1" applyAlignment="1">
      <alignment horizontal="center" vertical="center" wrapText="1"/>
    </xf>
    <xf numFmtId="169" fontId="11" fillId="5" borderId="42" xfId="0" applyNumberFormat="1" applyFont="1" applyFill="1" applyBorder="1" applyAlignment="1">
      <alignment horizontal="center" vertical="center" wrapText="1"/>
    </xf>
    <xf numFmtId="169" fontId="11" fillId="5" borderId="10" xfId="0" applyNumberFormat="1" applyFont="1" applyFill="1" applyBorder="1" applyAlignment="1">
      <alignment horizontal="center" vertical="center" wrapText="1"/>
    </xf>
    <xf numFmtId="169" fontId="11" fillId="5" borderId="40" xfId="0" applyNumberFormat="1" applyFont="1" applyFill="1" applyBorder="1" applyAlignment="1">
      <alignment horizontal="center" vertical="center" wrapText="1"/>
    </xf>
    <xf numFmtId="0" fontId="16" fillId="5" borderId="47" xfId="0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5" fillId="5" borderId="47" xfId="0" applyFont="1" applyFill="1" applyBorder="1" applyAlignment="1">
      <alignment horizontal="center" vertical="center" wrapText="1"/>
    </xf>
    <xf numFmtId="170" fontId="17" fillId="5" borderId="47" xfId="2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" fontId="15" fillId="5" borderId="47" xfId="0" applyNumberFormat="1" applyFont="1" applyFill="1" applyBorder="1" applyAlignment="1">
      <alignment horizontal="center" vertical="center" wrapText="1"/>
    </xf>
    <xf numFmtId="3" fontId="3" fillId="0" borderId="0" xfId="3" applyNumberFormat="1"/>
    <xf numFmtId="0" fontId="2" fillId="0" borderId="15" xfId="0" applyFont="1" applyBorder="1"/>
    <xf numFmtId="9" fontId="9" fillId="0" borderId="17" xfId="2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/>
    <xf numFmtId="9" fontId="0" fillId="0" borderId="0" xfId="0" applyNumberFormat="1"/>
    <xf numFmtId="171" fontId="0" fillId="0" borderId="0" xfId="0" applyNumberFormat="1"/>
    <xf numFmtId="171" fontId="2" fillId="0" borderId="0" xfId="0" applyNumberFormat="1" applyFont="1"/>
    <xf numFmtId="0" fontId="2" fillId="0" borderId="0" xfId="0" applyFont="1"/>
    <xf numFmtId="171" fontId="0" fillId="0" borderId="0" xfId="4" applyNumberFormat="1" applyFont="1"/>
    <xf numFmtId="171" fontId="19" fillId="0" borderId="0" xfId="4" applyNumberFormat="1" applyFont="1"/>
    <xf numFmtId="0" fontId="0" fillId="0" borderId="15" xfId="0" applyBorder="1" applyAlignment="1">
      <alignment horizontal="left"/>
    </xf>
    <xf numFmtId="0" fontId="0" fillId="0" borderId="48" xfId="0" applyBorder="1"/>
    <xf numFmtId="166" fontId="0" fillId="0" borderId="49" xfId="1" applyNumberFormat="1" applyFont="1" applyBorder="1"/>
    <xf numFmtId="166" fontId="0" fillId="0" borderId="50" xfId="1" applyNumberFormat="1" applyFont="1" applyBorder="1"/>
    <xf numFmtId="10" fontId="0" fillId="0" borderId="51" xfId="0" applyNumberFormat="1" applyBorder="1"/>
    <xf numFmtId="0" fontId="0" fillId="0" borderId="51" xfId="0" applyBorder="1"/>
    <xf numFmtId="167" fontId="10" fillId="0" borderId="51" xfId="0" applyNumberFormat="1" applyFont="1" applyBorder="1"/>
    <xf numFmtId="168" fontId="10" fillId="0" borderId="51" xfId="0" applyNumberFormat="1" applyFont="1" applyBorder="1"/>
    <xf numFmtId="0" fontId="0" fillId="0" borderId="0" xfId="0" applyAlignment="1">
      <alignment horizontal="center" textRotation="90"/>
    </xf>
    <xf numFmtId="0" fontId="0" fillId="0" borderId="9" xfId="0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5" fillId="0" borderId="0" xfId="3" applyFont="1" applyAlignment="1">
      <alignment horizontal="center" vertical="center" wrapText="1"/>
    </xf>
    <xf numFmtId="0" fontId="6" fillId="0" borderId="0" xfId="3" applyFont="1" applyAlignment="1">
      <alignment vertical="top" wrapText="1"/>
    </xf>
    <xf numFmtId="0" fontId="6" fillId="0" borderId="0" xfId="3" applyFont="1" applyAlignment="1">
      <alignment horizontal="left" vertical="top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4" fontId="0" fillId="0" borderId="5" xfId="0" applyNumberFormat="1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20" fillId="0" borderId="21" xfId="0" applyFont="1" applyBorder="1" applyAlignment="1">
      <alignment horizontal="center"/>
    </xf>
  </cellXfs>
  <cellStyles count="5">
    <cellStyle name="Comma" xfId="1" builtinId="3"/>
    <cellStyle name="Milliers 2" xfId="4" xr:uid="{5A06C55F-60D2-45DE-ABAA-E29473115D10}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Capitalisation de Vo à Tx pendant N années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78560948740208"/>
          <c:y val="0.144389272273997"/>
          <c:w val="0.78184559618635674"/>
          <c:h val="0.70270203993301683"/>
        </c:manualLayout>
      </c:layout>
      <c:lineChart>
        <c:grouping val="standard"/>
        <c:varyColors val="0"/>
        <c:ser>
          <c:idx val="1"/>
          <c:order val="1"/>
          <c:tx>
            <c:strRef>
              <c:f>Actualisation!$C$4</c:f>
              <c:strCache>
                <c:ptCount val="1"/>
                <c:pt idx="0">
                  <c:v>Vn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Actualisation!$B$5:$B$18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Actualisation!$C$5:$C$18</c:f>
              <c:numCache>
                <c:formatCode>_-* #,##0\ _€_-;\-* #,##0\ _€_-;_-* "-"??\ _€_-;_-@_-</c:formatCode>
                <c:ptCount val="14"/>
                <c:pt idx="0">
                  <c:v>100000</c:v>
                </c:pt>
                <c:pt idx="1">
                  <c:v>110000.00000000001</c:v>
                </c:pt>
                <c:pt idx="2">
                  <c:v>121000.00000000001</c:v>
                </c:pt>
                <c:pt idx="3">
                  <c:v>133100.00000000003</c:v>
                </c:pt>
                <c:pt idx="4">
                  <c:v>146410.00000000003</c:v>
                </c:pt>
                <c:pt idx="5">
                  <c:v>161051.00000000006</c:v>
                </c:pt>
                <c:pt idx="6">
                  <c:v>177156.10000000009</c:v>
                </c:pt>
                <c:pt idx="7">
                  <c:v>194871.71000000011</c:v>
                </c:pt>
                <c:pt idx="8">
                  <c:v>214358.88100000011</c:v>
                </c:pt>
                <c:pt idx="9">
                  <c:v>235794.76910000015</c:v>
                </c:pt>
                <c:pt idx="10">
                  <c:v>259374.24601000018</c:v>
                </c:pt>
                <c:pt idx="11">
                  <c:v>285311.67061100027</c:v>
                </c:pt>
                <c:pt idx="12">
                  <c:v>313842.83767210029</c:v>
                </c:pt>
                <c:pt idx="13">
                  <c:v>345227.12143931031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B-4E38-B5B0-E6CF0B8CF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947136"/>
        <c:axId val="4109479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Actualisation!$B$4</c15:sqref>
                        </c15:formulaRef>
                      </c:ext>
                    </c:extLst>
                    <c:strCache>
                      <c:ptCount val="1"/>
                      <c:pt idx="0">
                        <c:v>No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Actualisation!$B$5:$B$18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Actualisation!$B$5:$B$18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4EB-4E38-B5B0-E6CF0B8CFED5}"/>
                  </c:ext>
                </c:extLst>
              </c15:ser>
            </c15:filteredLineSeries>
          </c:ext>
        </c:extLst>
      </c:lineChart>
      <c:catAx>
        <c:axId val="41094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Années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47920"/>
        <c:crosses val="autoZero"/>
        <c:auto val="1"/>
        <c:lblAlgn val="ctr"/>
        <c:lblOffset val="100"/>
        <c:noMultiLvlLbl val="0"/>
      </c:catAx>
      <c:valAx>
        <c:axId val="41094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Evolution du capital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074516314087435"/>
          <c:y val="0.91484140240375467"/>
          <c:w val="0.10471192068109475"/>
          <c:h val="6.569388038486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Actualisation de Vo à Tx pendant N années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78560948740208"/>
          <c:y val="0.144389272273997"/>
          <c:w val="0.78184559618635674"/>
          <c:h val="0.70270203993301683"/>
        </c:manualLayout>
      </c:layout>
      <c:lineChart>
        <c:grouping val="standard"/>
        <c:varyColors val="0"/>
        <c:ser>
          <c:idx val="1"/>
          <c:order val="1"/>
          <c:tx>
            <c:strRef>
              <c:f>Actualisation!$L$4</c:f>
              <c:strCache>
                <c:ptCount val="1"/>
                <c:pt idx="0">
                  <c:v>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Actualisation!$B$5:$B$18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Actualisation!$L$5:$L$18</c:f>
              <c:numCache>
                <c:formatCode>_-* #,##0\ _€_-;\-* #,##0\ _€_-;_-* "-"??\ _€_-;_-@_-</c:formatCode>
                <c:ptCount val="14"/>
                <c:pt idx="0">
                  <c:v>259374.25</c:v>
                </c:pt>
                <c:pt idx="1">
                  <c:v>235794.77272727271</c:v>
                </c:pt>
                <c:pt idx="2">
                  <c:v>214358.88429752062</c:v>
                </c:pt>
                <c:pt idx="3">
                  <c:v>194871.71299774598</c:v>
                </c:pt>
                <c:pt idx="4">
                  <c:v>177156.10272522364</c:v>
                </c:pt>
                <c:pt idx="5">
                  <c:v>161051.00247747602</c:v>
                </c:pt>
                <c:pt idx="6">
                  <c:v>146410.00225225091</c:v>
                </c:pt>
                <c:pt idx="7">
                  <c:v>133100.00204750081</c:v>
                </c:pt>
                <c:pt idx="8">
                  <c:v>121000.00186136438</c:v>
                </c:pt>
                <c:pt idx="9">
                  <c:v>110000.00169214942</c:v>
                </c:pt>
                <c:pt idx="10">
                  <c:v>100000.00153831765</c:v>
                </c:pt>
                <c:pt idx="11">
                  <c:v>90909.092307561485</c:v>
                </c:pt>
                <c:pt idx="12">
                  <c:v>82644.629370510447</c:v>
                </c:pt>
                <c:pt idx="13">
                  <c:v>75131.481245918592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7-437E-AA5E-3A925DD78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948704"/>
        <c:axId val="413485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Actualisation!$K$4</c15:sqref>
                        </c15:formulaRef>
                      </c:ext>
                    </c:extLst>
                    <c:strCache>
                      <c:ptCount val="1"/>
                      <c:pt idx="0">
                        <c:v>No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Actualisation!$B$5:$B$18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Actualisation!$K$5:$K$18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037-437E-AA5E-3A925DD7837B}"/>
                  </c:ext>
                </c:extLst>
              </c15:ser>
            </c15:filteredLineSeries>
          </c:ext>
        </c:extLst>
      </c:lineChart>
      <c:catAx>
        <c:axId val="41094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Années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85736"/>
        <c:crosses val="autoZero"/>
        <c:auto val="1"/>
        <c:lblAlgn val="ctr"/>
        <c:lblOffset val="100"/>
        <c:noMultiLvlLbl val="0"/>
      </c:catAx>
      <c:valAx>
        <c:axId val="41348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Evolution du capital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4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074516314087435"/>
          <c:y val="0.91484140240375467"/>
          <c:w val="0.10471192068109475"/>
          <c:h val="6.569388038486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Erosion monétaire 1920 - 2019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'Erosion monétaire'!$F$5</c:f>
              <c:strCache>
                <c:ptCount val="1"/>
                <c:pt idx="0">
                  <c:v>Erosion monétaire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'Erosion monétaire'!$G$6:$DB$7</c:f>
              <c:multiLvlStrCache>
                <c:ptCount val="100"/>
                <c:lvl/>
                <c:lvl>
                  <c:pt idx="0">
                    <c:v>2019</c:v>
                  </c:pt>
                  <c:pt idx="1">
                    <c:v>2018</c:v>
                  </c:pt>
                  <c:pt idx="2">
                    <c:v>2017</c:v>
                  </c:pt>
                  <c:pt idx="3">
                    <c:v>2016</c:v>
                  </c:pt>
                  <c:pt idx="4">
                    <c:v>2015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2012</c:v>
                  </c:pt>
                  <c:pt idx="8">
                    <c:v>2011</c:v>
                  </c:pt>
                  <c:pt idx="9">
                    <c:v>2010</c:v>
                  </c:pt>
                  <c:pt idx="10">
                    <c:v>2009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2006</c:v>
                  </c:pt>
                  <c:pt idx="14">
                    <c:v>2005</c:v>
                  </c:pt>
                  <c:pt idx="15">
                    <c:v>2004</c:v>
                  </c:pt>
                  <c:pt idx="16">
                    <c:v>2003</c:v>
                  </c:pt>
                  <c:pt idx="17">
                    <c:v>2002</c:v>
                  </c:pt>
                  <c:pt idx="18">
                    <c:v>2001</c:v>
                  </c:pt>
                  <c:pt idx="19">
                    <c:v>2000</c:v>
                  </c:pt>
                  <c:pt idx="20">
                    <c:v>1999</c:v>
                  </c:pt>
                  <c:pt idx="21">
                    <c:v>1998</c:v>
                  </c:pt>
                  <c:pt idx="22">
                    <c:v>1997</c:v>
                  </c:pt>
                  <c:pt idx="23">
                    <c:v>1996</c:v>
                  </c:pt>
                  <c:pt idx="24">
                    <c:v>1995</c:v>
                  </c:pt>
                  <c:pt idx="25">
                    <c:v>1994</c:v>
                  </c:pt>
                  <c:pt idx="26">
                    <c:v>1993</c:v>
                  </c:pt>
                  <c:pt idx="27">
                    <c:v>1992</c:v>
                  </c:pt>
                  <c:pt idx="28">
                    <c:v>1991</c:v>
                  </c:pt>
                  <c:pt idx="29">
                    <c:v>1990</c:v>
                  </c:pt>
                  <c:pt idx="30">
                    <c:v>1989</c:v>
                  </c:pt>
                  <c:pt idx="31">
                    <c:v>1988</c:v>
                  </c:pt>
                  <c:pt idx="32">
                    <c:v>1987</c:v>
                  </c:pt>
                  <c:pt idx="33">
                    <c:v>1986</c:v>
                  </c:pt>
                  <c:pt idx="34">
                    <c:v>1985</c:v>
                  </c:pt>
                  <c:pt idx="35">
                    <c:v>1984</c:v>
                  </c:pt>
                  <c:pt idx="36">
                    <c:v>1983</c:v>
                  </c:pt>
                  <c:pt idx="37">
                    <c:v>1982</c:v>
                  </c:pt>
                  <c:pt idx="38">
                    <c:v>1981</c:v>
                  </c:pt>
                  <c:pt idx="39">
                    <c:v>1980</c:v>
                  </c:pt>
                  <c:pt idx="40">
                    <c:v>1979</c:v>
                  </c:pt>
                  <c:pt idx="41">
                    <c:v>1978</c:v>
                  </c:pt>
                  <c:pt idx="42">
                    <c:v>1977</c:v>
                  </c:pt>
                  <c:pt idx="43">
                    <c:v>1976</c:v>
                  </c:pt>
                  <c:pt idx="44">
                    <c:v>1975</c:v>
                  </c:pt>
                  <c:pt idx="45">
                    <c:v>1974</c:v>
                  </c:pt>
                  <c:pt idx="46">
                    <c:v>1973</c:v>
                  </c:pt>
                  <c:pt idx="47">
                    <c:v>1972</c:v>
                  </c:pt>
                  <c:pt idx="48">
                    <c:v>1971</c:v>
                  </c:pt>
                  <c:pt idx="49">
                    <c:v>1970</c:v>
                  </c:pt>
                  <c:pt idx="50">
                    <c:v>1969</c:v>
                  </c:pt>
                  <c:pt idx="51">
                    <c:v>1968</c:v>
                  </c:pt>
                  <c:pt idx="52">
                    <c:v>1967</c:v>
                  </c:pt>
                  <c:pt idx="53">
                    <c:v>1966</c:v>
                  </c:pt>
                  <c:pt idx="54">
                    <c:v>1965</c:v>
                  </c:pt>
                  <c:pt idx="55">
                    <c:v>1964</c:v>
                  </c:pt>
                  <c:pt idx="56">
                    <c:v>1963</c:v>
                  </c:pt>
                  <c:pt idx="57">
                    <c:v>1962</c:v>
                  </c:pt>
                  <c:pt idx="58">
                    <c:v>1961</c:v>
                  </c:pt>
                  <c:pt idx="59">
                    <c:v>1960</c:v>
                  </c:pt>
                  <c:pt idx="60">
                    <c:v>1959</c:v>
                  </c:pt>
                  <c:pt idx="61">
                    <c:v>1958</c:v>
                  </c:pt>
                  <c:pt idx="62">
                    <c:v>1957</c:v>
                  </c:pt>
                  <c:pt idx="63">
                    <c:v>1956</c:v>
                  </c:pt>
                  <c:pt idx="64">
                    <c:v>1955</c:v>
                  </c:pt>
                  <c:pt idx="65">
                    <c:v>1954</c:v>
                  </c:pt>
                  <c:pt idx="66">
                    <c:v>1953</c:v>
                  </c:pt>
                  <c:pt idx="67">
                    <c:v>1952</c:v>
                  </c:pt>
                  <c:pt idx="68">
                    <c:v>1951</c:v>
                  </c:pt>
                  <c:pt idx="69">
                    <c:v>1950</c:v>
                  </c:pt>
                  <c:pt idx="70">
                    <c:v>1949</c:v>
                  </c:pt>
                  <c:pt idx="71">
                    <c:v>1948</c:v>
                  </c:pt>
                  <c:pt idx="72">
                    <c:v>1947</c:v>
                  </c:pt>
                  <c:pt idx="73">
                    <c:v>1946</c:v>
                  </c:pt>
                  <c:pt idx="74">
                    <c:v>1945</c:v>
                  </c:pt>
                  <c:pt idx="75">
                    <c:v>1944</c:v>
                  </c:pt>
                  <c:pt idx="76">
                    <c:v>1943</c:v>
                  </c:pt>
                  <c:pt idx="77">
                    <c:v>1942</c:v>
                  </c:pt>
                  <c:pt idx="78">
                    <c:v>1941</c:v>
                  </c:pt>
                  <c:pt idx="79">
                    <c:v>1940</c:v>
                  </c:pt>
                  <c:pt idx="80">
                    <c:v>1939</c:v>
                  </c:pt>
                  <c:pt idx="81">
                    <c:v>1938</c:v>
                  </c:pt>
                  <c:pt idx="82">
                    <c:v>1937</c:v>
                  </c:pt>
                  <c:pt idx="83">
                    <c:v>1936</c:v>
                  </c:pt>
                  <c:pt idx="84">
                    <c:v>1935</c:v>
                  </c:pt>
                  <c:pt idx="85">
                    <c:v>1934</c:v>
                  </c:pt>
                  <c:pt idx="86">
                    <c:v>1933</c:v>
                  </c:pt>
                  <c:pt idx="87">
                    <c:v>1932</c:v>
                  </c:pt>
                  <c:pt idx="88">
                    <c:v>1931</c:v>
                  </c:pt>
                  <c:pt idx="89">
                    <c:v>1930</c:v>
                  </c:pt>
                  <c:pt idx="90">
                    <c:v>1929</c:v>
                  </c:pt>
                  <c:pt idx="91">
                    <c:v>1928</c:v>
                  </c:pt>
                  <c:pt idx="92">
                    <c:v>1927</c:v>
                  </c:pt>
                  <c:pt idx="93">
                    <c:v>1926</c:v>
                  </c:pt>
                  <c:pt idx="94">
                    <c:v>1925</c:v>
                  </c:pt>
                  <c:pt idx="95">
                    <c:v>1924</c:v>
                  </c:pt>
                  <c:pt idx="96">
                    <c:v>1923</c:v>
                  </c:pt>
                  <c:pt idx="97">
                    <c:v>1922</c:v>
                  </c:pt>
                  <c:pt idx="98">
                    <c:v>1921</c:v>
                  </c:pt>
                  <c:pt idx="99">
                    <c:v>1920</c:v>
                  </c:pt>
                </c:lvl>
              </c:multiLvlStrCache>
            </c:multiLvlStrRef>
          </c:cat>
          <c:val>
            <c:numRef>
              <c:f>'Erosion monétaire'!$F$5:$DB$5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1.0129999999999999</c:v>
                </c:pt>
                <c:pt idx="3">
                  <c:v>1.0289999999999999</c:v>
                </c:pt>
                <c:pt idx="4">
                  <c:v>1.0389999999999999</c:v>
                </c:pt>
                <c:pt idx="5">
                  <c:v>1.0409999999999999</c:v>
                </c:pt>
                <c:pt idx="6">
                  <c:v>1.042</c:v>
                </c:pt>
                <c:pt idx="7">
                  <c:v>1.046</c:v>
                </c:pt>
                <c:pt idx="8">
                  <c:v>1.054</c:v>
                </c:pt>
                <c:pt idx="9">
                  <c:v>1.073</c:v>
                </c:pt>
                <c:pt idx="10">
                  <c:v>1.095</c:v>
                </c:pt>
                <c:pt idx="11">
                  <c:v>1.111</c:v>
                </c:pt>
                <c:pt idx="12">
                  <c:v>1.1120000000000001</c:v>
                </c:pt>
                <c:pt idx="13">
                  <c:v>1.143</c:v>
                </c:pt>
                <c:pt idx="14">
                  <c:v>1.1599999999999999</c:v>
                </c:pt>
                <c:pt idx="15">
                  <c:v>1.179</c:v>
                </c:pt>
                <c:pt idx="16">
                  <c:v>1.2010000000000001</c:v>
                </c:pt>
                <c:pt idx="17">
                  <c:v>1.22</c:v>
                </c:pt>
                <c:pt idx="18">
                  <c:v>1.2430000000000001</c:v>
                </c:pt>
                <c:pt idx="19">
                  <c:v>1.2649999999999999</c:v>
                </c:pt>
                <c:pt idx="20">
                  <c:v>1.2849999999999999</c:v>
                </c:pt>
                <c:pt idx="21">
                  <c:v>1.3049999999999999</c:v>
                </c:pt>
                <c:pt idx="22">
                  <c:v>1.3120000000000001</c:v>
                </c:pt>
                <c:pt idx="23">
                  <c:v>1.32</c:v>
                </c:pt>
                <c:pt idx="24">
                  <c:v>1.3340000000000001</c:v>
                </c:pt>
                <c:pt idx="25">
                  <c:v>1.359</c:v>
                </c:pt>
                <c:pt idx="26">
                  <c:v>1.3819999999999999</c:v>
                </c:pt>
                <c:pt idx="27">
                  <c:v>1.401</c:v>
                </c:pt>
                <c:pt idx="28">
                  <c:v>1.4259999999999999</c:v>
                </c:pt>
                <c:pt idx="29">
                  <c:v>1.4590000000000001</c:v>
                </c:pt>
                <c:pt idx="30">
                  <c:v>1.506</c:v>
                </c:pt>
                <c:pt idx="31">
                  <c:v>1.5580000000000001</c:v>
                </c:pt>
                <c:pt idx="32">
                  <c:v>1.611</c:v>
                </c:pt>
                <c:pt idx="33">
                  <c:v>1.653</c:v>
                </c:pt>
                <c:pt idx="34">
                  <c:v>1.7070000000000001</c:v>
                </c:pt>
                <c:pt idx="35">
                  <c:v>1.7490000000000001</c:v>
                </c:pt>
                <c:pt idx="36">
                  <c:v>1.8540000000000001</c:v>
                </c:pt>
                <c:pt idx="37">
                  <c:v>1.996</c:v>
                </c:pt>
                <c:pt idx="38">
                  <c:v>2.1850000000000001</c:v>
                </c:pt>
                <c:pt idx="39">
                  <c:v>2.444</c:v>
                </c:pt>
                <c:pt idx="40">
                  <c:v>2.77</c:v>
                </c:pt>
                <c:pt idx="41">
                  <c:v>3.1459999999999999</c:v>
                </c:pt>
                <c:pt idx="42">
                  <c:v>3.484</c:v>
                </c:pt>
                <c:pt idx="43">
                  <c:v>3.8</c:v>
                </c:pt>
                <c:pt idx="44">
                  <c:v>4.1559999999999997</c:v>
                </c:pt>
                <c:pt idx="45">
                  <c:v>4.556</c:v>
                </c:pt>
                <c:pt idx="46">
                  <c:v>5.0919999999999996</c:v>
                </c:pt>
                <c:pt idx="47">
                  <c:v>5.7910000000000004</c:v>
                </c:pt>
                <c:pt idx="48">
                  <c:v>6.2149999999999999</c:v>
                </c:pt>
                <c:pt idx="49">
                  <c:v>6.5979999999999999</c:v>
                </c:pt>
                <c:pt idx="50">
                  <c:v>6.9610000000000003</c:v>
                </c:pt>
                <c:pt idx="51">
                  <c:v>7.3239999999999998</c:v>
                </c:pt>
                <c:pt idx="52">
                  <c:v>7.7960000000000003</c:v>
                </c:pt>
                <c:pt idx="53">
                  <c:v>8.1489999999999991</c:v>
                </c:pt>
                <c:pt idx="54">
                  <c:v>8.3699999999999992</c:v>
                </c:pt>
                <c:pt idx="55">
                  <c:v>8.5960000000000001</c:v>
                </c:pt>
                <c:pt idx="56">
                  <c:v>8.8109999999999999</c:v>
                </c:pt>
                <c:pt idx="57">
                  <c:v>9.1129999999999995</c:v>
                </c:pt>
                <c:pt idx="58">
                  <c:v>9.5519999999999996</c:v>
                </c:pt>
                <c:pt idx="59">
                  <c:v>10.012</c:v>
                </c:pt>
                <c:pt idx="60">
                  <c:v>10.340999999999999</c:v>
                </c:pt>
                <c:pt idx="61">
                  <c:v>10.718</c:v>
                </c:pt>
                <c:pt idx="62">
                  <c:v>11.375999999999999</c:v>
                </c:pt>
                <c:pt idx="63">
                  <c:v>13.093999999999999</c:v>
                </c:pt>
                <c:pt idx="64">
                  <c:v>13.446</c:v>
                </c:pt>
                <c:pt idx="65">
                  <c:v>13.706</c:v>
                </c:pt>
                <c:pt idx="66">
                  <c:v>13.859</c:v>
                </c:pt>
                <c:pt idx="67">
                  <c:v>13.82</c:v>
                </c:pt>
                <c:pt idx="68">
                  <c:v>13.659000000000001</c:v>
                </c:pt>
                <c:pt idx="69">
                  <c:v>15.265000000000001</c:v>
                </c:pt>
                <c:pt idx="70">
                  <c:v>17.86</c:v>
                </c:pt>
                <c:pt idx="71">
                  <c:v>19.86</c:v>
                </c:pt>
                <c:pt idx="72">
                  <c:v>20.379000000000001</c:v>
                </c:pt>
                <c:pt idx="73">
                  <c:v>32.304000000000002</c:v>
                </c:pt>
                <c:pt idx="74">
                  <c:v>51.601999999999997</c:v>
                </c:pt>
                <c:pt idx="75">
                  <c:v>84.573999999999998</c:v>
                </c:pt>
                <c:pt idx="76">
                  <c:v>116.714</c:v>
                </c:pt>
                <c:pt idx="77">
                  <c:v>148.88800000000001</c:v>
                </c:pt>
                <c:pt idx="78">
                  <c:v>189.77799999999999</c:v>
                </c:pt>
                <c:pt idx="79">
                  <c:v>221.22900000000001</c:v>
                </c:pt>
                <c:pt idx="80">
                  <c:v>258.46600000000001</c:v>
                </c:pt>
                <c:pt idx="81">
                  <c:v>307.92399999999998</c:v>
                </c:pt>
                <c:pt idx="82">
                  <c:v>332.78399999999999</c:v>
                </c:pt>
                <c:pt idx="83">
                  <c:v>384.52699999999999</c:v>
                </c:pt>
                <c:pt idx="84">
                  <c:v>489.47</c:v>
                </c:pt>
                <c:pt idx="85">
                  <c:v>533.96699999999998</c:v>
                </c:pt>
                <c:pt idx="86">
                  <c:v>478.50400000000002</c:v>
                </c:pt>
                <c:pt idx="87">
                  <c:v>451.81900000000002</c:v>
                </c:pt>
                <c:pt idx="88">
                  <c:v>430.303</c:v>
                </c:pt>
                <c:pt idx="89">
                  <c:v>385.78899999999999</c:v>
                </c:pt>
                <c:pt idx="90">
                  <c:v>380.17099999999999</c:v>
                </c:pt>
                <c:pt idx="91">
                  <c:v>378.334</c:v>
                </c:pt>
                <c:pt idx="92">
                  <c:v>402.30399999999997</c:v>
                </c:pt>
                <c:pt idx="93">
                  <c:v>396.19799999999998</c:v>
                </c:pt>
                <c:pt idx="94">
                  <c:v>419.54599999999999</c:v>
                </c:pt>
                <c:pt idx="95">
                  <c:v>554.11699999999996</c:v>
                </c:pt>
                <c:pt idx="96">
                  <c:v>594.79899999999998</c:v>
                </c:pt>
                <c:pt idx="97">
                  <c:v>682.98199999999997</c:v>
                </c:pt>
                <c:pt idx="98">
                  <c:v>745.85900000000004</c:v>
                </c:pt>
                <c:pt idx="99">
                  <c:v>705.54300000000001</c:v>
                </c:pt>
                <c:pt idx="100">
                  <c:v>633.27700000000004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8-4B7C-B30F-7471592C5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773688"/>
        <c:axId val="631776312"/>
      </c:lineChart>
      <c:catAx>
        <c:axId val="63177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76312"/>
        <c:crosses val="autoZero"/>
        <c:auto val="1"/>
        <c:lblAlgn val="ctr"/>
        <c:lblOffset val="100"/>
        <c:noMultiLvlLbl val="0"/>
      </c:catAx>
      <c:valAx>
        <c:axId val="63177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7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Erosion monétaire 1970 - 2019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'Erosion monétaire'!$F$5</c:f>
              <c:strCache>
                <c:ptCount val="1"/>
                <c:pt idx="0">
                  <c:v>Erosion monétaire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'Erosion monétaire'!$G$6:$BD$7</c:f>
              <c:multiLvlStrCache>
                <c:ptCount val="50"/>
                <c:lvl/>
                <c:lvl>
                  <c:pt idx="0">
                    <c:v>2019</c:v>
                  </c:pt>
                  <c:pt idx="1">
                    <c:v>2018</c:v>
                  </c:pt>
                  <c:pt idx="2">
                    <c:v>2017</c:v>
                  </c:pt>
                  <c:pt idx="3">
                    <c:v>2016</c:v>
                  </c:pt>
                  <c:pt idx="4">
                    <c:v>2015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2012</c:v>
                  </c:pt>
                  <c:pt idx="8">
                    <c:v>2011</c:v>
                  </c:pt>
                  <c:pt idx="9">
                    <c:v>2010</c:v>
                  </c:pt>
                  <c:pt idx="10">
                    <c:v>2009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2006</c:v>
                  </c:pt>
                  <c:pt idx="14">
                    <c:v>2005</c:v>
                  </c:pt>
                  <c:pt idx="15">
                    <c:v>2004</c:v>
                  </c:pt>
                  <c:pt idx="16">
                    <c:v>2003</c:v>
                  </c:pt>
                  <c:pt idx="17">
                    <c:v>2002</c:v>
                  </c:pt>
                  <c:pt idx="18">
                    <c:v>2001</c:v>
                  </c:pt>
                  <c:pt idx="19">
                    <c:v>2000</c:v>
                  </c:pt>
                  <c:pt idx="20">
                    <c:v>1999</c:v>
                  </c:pt>
                  <c:pt idx="21">
                    <c:v>1998</c:v>
                  </c:pt>
                  <c:pt idx="22">
                    <c:v>1997</c:v>
                  </c:pt>
                  <c:pt idx="23">
                    <c:v>1996</c:v>
                  </c:pt>
                  <c:pt idx="24">
                    <c:v>1995</c:v>
                  </c:pt>
                  <c:pt idx="25">
                    <c:v>1994</c:v>
                  </c:pt>
                  <c:pt idx="26">
                    <c:v>1993</c:v>
                  </c:pt>
                  <c:pt idx="27">
                    <c:v>1992</c:v>
                  </c:pt>
                  <c:pt idx="28">
                    <c:v>1991</c:v>
                  </c:pt>
                  <c:pt idx="29">
                    <c:v>1990</c:v>
                  </c:pt>
                  <c:pt idx="30">
                    <c:v>1989</c:v>
                  </c:pt>
                  <c:pt idx="31">
                    <c:v>1988</c:v>
                  </c:pt>
                  <c:pt idx="32">
                    <c:v>1987</c:v>
                  </c:pt>
                  <c:pt idx="33">
                    <c:v>1986</c:v>
                  </c:pt>
                  <c:pt idx="34">
                    <c:v>1985</c:v>
                  </c:pt>
                  <c:pt idx="35">
                    <c:v>1984</c:v>
                  </c:pt>
                  <c:pt idx="36">
                    <c:v>1983</c:v>
                  </c:pt>
                  <c:pt idx="37">
                    <c:v>1982</c:v>
                  </c:pt>
                  <c:pt idx="38">
                    <c:v>1981</c:v>
                  </c:pt>
                  <c:pt idx="39">
                    <c:v>1980</c:v>
                  </c:pt>
                  <c:pt idx="40">
                    <c:v>1979</c:v>
                  </c:pt>
                  <c:pt idx="41">
                    <c:v>1978</c:v>
                  </c:pt>
                  <c:pt idx="42">
                    <c:v>1977</c:v>
                  </c:pt>
                  <c:pt idx="43">
                    <c:v>1976</c:v>
                  </c:pt>
                  <c:pt idx="44">
                    <c:v>1975</c:v>
                  </c:pt>
                  <c:pt idx="45">
                    <c:v>1974</c:v>
                  </c:pt>
                  <c:pt idx="46">
                    <c:v>1973</c:v>
                  </c:pt>
                  <c:pt idx="47">
                    <c:v>1972</c:v>
                  </c:pt>
                  <c:pt idx="48">
                    <c:v>1971</c:v>
                  </c:pt>
                  <c:pt idx="49">
                    <c:v>1970</c:v>
                  </c:pt>
                </c:lvl>
              </c:multiLvlStrCache>
            </c:multiLvlStrRef>
          </c:cat>
          <c:val>
            <c:numRef>
              <c:f>'Erosion monétaire'!$F$5:$BD$5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1.0129999999999999</c:v>
                </c:pt>
                <c:pt idx="3">
                  <c:v>1.0289999999999999</c:v>
                </c:pt>
                <c:pt idx="4">
                  <c:v>1.0389999999999999</c:v>
                </c:pt>
                <c:pt idx="5">
                  <c:v>1.0409999999999999</c:v>
                </c:pt>
                <c:pt idx="6">
                  <c:v>1.042</c:v>
                </c:pt>
                <c:pt idx="7">
                  <c:v>1.046</c:v>
                </c:pt>
                <c:pt idx="8">
                  <c:v>1.054</c:v>
                </c:pt>
                <c:pt idx="9">
                  <c:v>1.073</c:v>
                </c:pt>
                <c:pt idx="10">
                  <c:v>1.095</c:v>
                </c:pt>
                <c:pt idx="11">
                  <c:v>1.111</c:v>
                </c:pt>
                <c:pt idx="12">
                  <c:v>1.1120000000000001</c:v>
                </c:pt>
                <c:pt idx="13">
                  <c:v>1.143</c:v>
                </c:pt>
                <c:pt idx="14">
                  <c:v>1.1599999999999999</c:v>
                </c:pt>
                <c:pt idx="15">
                  <c:v>1.179</c:v>
                </c:pt>
                <c:pt idx="16">
                  <c:v>1.2010000000000001</c:v>
                </c:pt>
                <c:pt idx="17">
                  <c:v>1.22</c:v>
                </c:pt>
                <c:pt idx="18">
                  <c:v>1.2430000000000001</c:v>
                </c:pt>
                <c:pt idx="19">
                  <c:v>1.2649999999999999</c:v>
                </c:pt>
                <c:pt idx="20">
                  <c:v>1.2849999999999999</c:v>
                </c:pt>
                <c:pt idx="21">
                  <c:v>1.3049999999999999</c:v>
                </c:pt>
                <c:pt idx="22">
                  <c:v>1.3120000000000001</c:v>
                </c:pt>
                <c:pt idx="23">
                  <c:v>1.32</c:v>
                </c:pt>
                <c:pt idx="24">
                  <c:v>1.3340000000000001</c:v>
                </c:pt>
                <c:pt idx="25">
                  <c:v>1.359</c:v>
                </c:pt>
                <c:pt idx="26">
                  <c:v>1.3819999999999999</c:v>
                </c:pt>
                <c:pt idx="27">
                  <c:v>1.401</c:v>
                </c:pt>
                <c:pt idx="28">
                  <c:v>1.4259999999999999</c:v>
                </c:pt>
                <c:pt idx="29">
                  <c:v>1.4590000000000001</c:v>
                </c:pt>
                <c:pt idx="30">
                  <c:v>1.506</c:v>
                </c:pt>
                <c:pt idx="31">
                  <c:v>1.5580000000000001</c:v>
                </c:pt>
                <c:pt idx="32">
                  <c:v>1.611</c:v>
                </c:pt>
                <c:pt idx="33">
                  <c:v>1.653</c:v>
                </c:pt>
                <c:pt idx="34">
                  <c:v>1.7070000000000001</c:v>
                </c:pt>
                <c:pt idx="35">
                  <c:v>1.7490000000000001</c:v>
                </c:pt>
                <c:pt idx="36">
                  <c:v>1.8540000000000001</c:v>
                </c:pt>
                <c:pt idx="37">
                  <c:v>1.996</c:v>
                </c:pt>
                <c:pt idx="38">
                  <c:v>2.1850000000000001</c:v>
                </c:pt>
                <c:pt idx="39">
                  <c:v>2.444</c:v>
                </c:pt>
                <c:pt idx="40">
                  <c:v>2.77</c:v>
                </c:pt>
                <c:pt idx="41">
                  <c:v>3.1459999999999999</c:v>
                </c:pt>
                <c:pt idx="42">
                  <c:v>3.484</c:v>
                </c:pt>
                <c:pt idx="43">
                  <c:v>3.8</c:v>
                </c:pt>
                <c:pt idx="44">
                  <c:v>4.1559999999999997</c:v>
                </c:pt>
                <c:pt idx="45">
                  <c:v>4.556</c:v>
                </c:pt>
                <c:pt idx="46">
                  <c:v>5.0919999999999996</c:v>
                </c:pt>
                <c:pt idx="47">
                  <c:v>5.7910000000000004</c:v>
                </c:pt>
                <c:pt idx="48">
                  <c:v>6.2149999999999999</c:v>
                </c:pt>
                <c:pt idx="49">
                  <c:v>6.5979999999999999</c:v>
                </c:pt>
                <c:pt idx="50">
                  <c:v>6.9610000000000003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5-433F-B200-46DF19057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773688"/>
        <c:axId val="631776312"/>
      </c:lineChart>
      <c:catAx>
        <c:axId val="63177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76312"/>
        <c:crosses val="autoZero"/>
        <c:auto val="1"/>
        <c:lblAlgn val="ctr"/>
        <c:lblOffset val="100"/>
        <c:noMultiLvlLbl val="0"/>
      </c:catAx>
      <c:valAx>
        <c:axId val="63177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7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Erosion monétaire 2000 - 2019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'Erosion monétaire'!$F$5</c:f>
              <c:strCache>
                <c:ptCount val="1"/>
                <c:pt idx="0">
                  <c:v>Erosion monétaire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'Erosion monétaire'!$G$6:$Z$7</c:f>
              <c:multiLvlStrCache>
                <c:ptCount val="20"/>
                <c:lvl/>
                <c:lvl>
                  <c:pt idx="0">
                    <c:v>2019</c:v>
                  </c:pt>
                  <c:pt idx="1">
                    <c:v>2018</c:v>
                  </c:pt>
                  <c:pt idx="2">
                    <c:v>2017</c:v>
                  </c:pt>
                  <c:pt idx="3">
                    <c:v>2016</c:v>
                  </c:pt>
                  <c:pt idx="4">
                    <c:v>2015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2012</c:v>
                  </c:pt>
                  <c:pt idx="8">
                    <c:v>2011</c:v>
                  </c:pt>
                  <c:pt idx="9">
                    <c:v>2010</c:v>
                  </c:pt>
                  <c:pt idx="10">
                    <c:v>2009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2006</c:v>
                  </c:pt>
                  <c:pt idx="14">
                    <c:v>2005</c:v>
                  </c:pt>
                  <c:pt idx="15">
                    <c:v>2004</c:v>
                  </c:pt>
                  <c:pt idx="16">
                    <c:v>2003</c:v>
                  </c:pt>
                  <c:pt idx="17">
                    <c:v>2002</c:v>
                  </c:pt>
                  <c:pt idx="18">
                    <c:v>2001</c:v>
                  </c:pt>
                  <c:pt idx="19">
                    <c:v>2000</c:v>
                  </c:pt>
                </c:lvl>
              </c:multiLvlStrCache>
            </c:multiLvlStrRef>
          </c:cat>
          <c:val>
            <c:numRef>
              <c:f>'Erosion monétaire'!$F$5:$Z$5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1.0129999999999999</c:v>
                </c:pt>
                <c:pt idx="3">
                  <c:v>1.0289999999999999</c:v>
                </c:pt>
                <c:pt idx="4">
                  <c:v>1.0389999999999999</c:v>
                </c:pt>
                <c:pt idx="5">
                  <c:v>1.0409999999999999</c:v>
                </c:pt>
                <c:pt idx="6">
                  <c:v>1.042</c:v>
                </c:pt>
                <c:pt idx="7">
                  <c:v>1.046</c:v>
                </c:pt>
                <c:pt idx="8">
                  <c:v>1.054</c:v>
                </c:pt>
                <c:pt idx="9">
                  <c:v>1.073</c:v>
                </c:pt>
                <c:pt idx="10">
                  <c:v>1.095</c:v>
                </c:pt>
                <c:pt idx="11">
                  <c:v>1.111</c:v>
                </c:pt>
                <c:pt idx="12">
                  <c:v>1.1120000000000001</c:v>
                </c:pt>
                <c:pt idx="13">
                  <c:v>1.143</c:v>
                </c:pt>
                <c:pt idx="14">
                  <c:v>1.1599999999999999</c:v>
                </c:pt>
                <c:pt idx="15">
                  <c:v>1.179</c:v>
                </c:pt>
                <c:pt idx="16">
                  <c:v>1.2010000000000001</c:v>
                </c:pt>
                <c:pt idx="17">
                  <c:v>1.22</c:v>
                </c:pt>
                <c:pt idx="18">
                  <c:v>1.2430000000000001</c:v>
                </c:pt>
                <c:pt idx="19">
                  <c:v>1.2649999999999999</c:v>
                </c:pt>
                <c:pt idx="20">
                  <c:v>1.2849999999999999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4-494E-9A41-BD73537D4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773688"/>
        <c:axId val="631776312"/>
      </c:lineChart>
      <c:catAx>
        <c:axId val="63177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76312"/>
        <c:crosses val="autoZero"/>
        <c:auto val="1"/>
        <c:lblAlgn val="ctr"/>
        <c:lblOffset val="100"/>
        <c:noMultiLvlLbl val="0"/>
      </c:catAx>
      <c:valAx>
        <c:axId val="63177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7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Erosion monétaire 2010 - 2019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'Erosion monétaire'!$F$5</c:f>
              <c:strCache>
                <c:ptCount val="1"/>
                <c:pt idx="0">
                  <c:v>Erosion monétaire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'Erosion monétaire'!$G$6:$P$7</c:f>
              <c:multiLvlStrCache>
                <c:ptCount val="10"/>
                <c:lvl/>
                <c:lvl>
                  <c:pt idx="0">
                    <c:v>2019</c:v>
                  </c:pt>
                  <c:pt idx="1">
                    <c:v>2018</c:v>
                  </c:pt>
                  <c:pt idx="2">
                    <c:v>2017</c:v>
                  </c:pt>
                  <c:pt idx="3">
                    <c:v>2016</c:v>
                  </c:pt>
                  <c:pt idx="4">
                    <c:v>2015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2012</c:v>
                  </c:pt>
                  <c:pt idx="8">
                    <c:v>2011</c:v>
                  </c:pt>
                  <c:pt idx="9">
                    <c:v>2010</c:v>
                  </c:pt>
                </c:lvl>
              </c:multiLvlStrCache>
            </c:multiLvlStrRef>
          </c:cat>
          <c:val>
            <c:numRef>
              <c:f>'Erosion monétaire'!$F$5:$P$5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1.0129999999999999</c:v>
                </c:pt>
                <c:pt idx="3">
                  <c:v>1.0289999999999999</c:v>
                </c:pt>
                <c:pt idx="4">
                  <c:v>1.0389999999999999</c:v>
                </c:pt>
                <c:pt idx="5">
                  <c:v>1.0409999999999999</c:v>
                </c:pt>
                <c:pt idx="6">
                  <c:v>1.042</c:v>
                </c:pt>
                <c:pt idx="7">
                  <c:v>1.046</c:v>
                </c:pt>
                <c:pt idx="8">
                  <c:v>1.054</c:v>
                </c:pt>
                <c:pt idx="9">
                  <c:v>1.073</c:v>
                </c:pt>
                <c:pt idx="10">
                  <c:v>1.095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9-483B-9A88-A0B1488EE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773688"/>
        <c:axId val="631776312"/>
      </c:lineChart>
      <c:catAx>
        <c:axId val="63177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76312"/>
        <c:crosses val="autoZero"/>
        <c:auto val="1"/>
        <c:lblAlgn val="ctr"/>
        <c:lblOffset val="100"/>
        <c:noMultiLvlLbl val="0"/>
      </c:catAx>
      <c:valAx>
        <c:axId val="63177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7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Inflation Moyenne Annuelle entre 1900 et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Inflation!$C$2</c:f>
              <c:strCache>
                <c:ptCount val="1"/>
                <c:pt idx="0">
                  <c:v>Inflation Moyenne Annuelle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Inflation!$B$2:$B$121</c15:sqref>
                  </c15:fullRef>
                </c:ext>
              </c:extLst>
              <c:f>Inflation!$B$3:$B$121</c:f>
              <c:strCache>
                <c:ptCount val="119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  <c:pt idx="10">
                  <c:v>2009</c:v>
                </c:pt>
                <c:pt idx="11">
                  <c:v>2008</c:v>
                </c:pt>
                <c:pt idx="12">
                  <c:v>2007</c:v>
                </c:pt>
                <c:pt idx="13">
                  <c:v>2006</c:v>
                </c:pt>
                <c:pt idx="14">
                  <c:v>2005</c:v>
                </c:pt>
                <c:pt idx="15">
                  <c:v>2004</c:v>
                </c:pt>
                <c:pt idx="16">
                  <c:v>2003</c:v>
                </c:pt>
                <c:pt idx="17">
                  <c:v>2002</c:v>
                </c:pt>
                <c:pt idx="18">
                  <c:v>2001</c:v>
                </c:pt>
                <c:pt idx="19">
                  <c:v>2000</c:v>
                </c:pt>
                <c:pt idx="20">
                  <c:v>1999</c:v>
                </c:pt>
                <c:pt idx="21">
                  <c:v>1998</c:v>
                </c:pt>
                <c:pt idx="22">
                  <c:v>1997</c:v>
                </c:pt>
                <c:pt idx="23">
                  <c:v>1996</c:v>
                </c:pt>
                <c:pt idx="24">
                  <c:v>1995</c:v>
                </c:pt>
                <c:pt idx="25">
                  <c:v>1994</c:v>
                </c:pt>
                <c:pt idx="26">
                  <c:v>1993</c:v>
                </c:pt>
                <c:pt idx="27">
                  <c:v>1992</c:v>
                </c:pt>
                <c:pt idx="28">
                  <c:v>1991</c:v>
                </c:pt>
                <c:pt idx="29">
                  <c:v>1990</c:v>
                </c:pt>
                <c:pt idx="30">
                  <c:v>1989</c:v>
                </c:pt>
                <c:pt idx="31">
                  <c:v>1988</c:v>
                </c:pt>
                <c:pt idx="32">
                  <c:v>1987</c:v>
                </c:pt>
                <c:pt idx="33">
                  <c:v>1986</c:v>
                </c:pt>
                <c:pt idx="34">
                  <c:v>1985</c:v>
                </c:pt>
                <c:pt idx="35">
                  <c:v>1984</c:v>
                </c:pt>
                <c:pt idx="36">
                  <c:v>1983</c:v>
                </c:pt>
                <c:pt idx="37">
                  <c:v>1982</c:v>
                </c:pt>
                <c:pt idx="38">
                  <c:v>1981</c:v>
                </c:pt>
                <c:pt idx="39">
                  <c:v>1980</c:v>
                </c:pt>
                <c:pt idx="40">
                  <c:v>1979</c:v>
                </c:pt>
                <c:pt idx="41">
                  <c:v>1978</c:v>
                </c:pt>
                <c:pt idx="42">
                  <c:v>1977</c:v>
                </c:pt>
                <c:pt idx="43">
                  <c:v>1976</c:v>
                </c:pt>
                <c:pt idx="44">
                  <c:v>1975</c:v>
                </c:pt>
                <c:pt idx="45">
                  <c:v>1974</c:v>
                </c:pt>
                <c:pt idx="46">
                  <c:v>1973</c:v>
                </c:pt>
                <c:pt idx="47">
                  <c:v>1972</c:v>
                </c:pt>
                <c:pt idx="48">
                  <c:v>1971</c:v>
                </c:pt>
                <c:pt idx="49">
                  <c:v>1970</c:v>
                </c:pt>
                <c:pt idx="50">
                  <c:v>1969</c:v>
                </c:pt>
                <c:pt idx="51">
                  <c:v>1968</c:v>
                </c:pt>
                <c:pt idx="52">
                  <c:v>1967</c:v>
                </c:pt>
                <c:pt idx="53">
                  <c:v>1966</c:v>
                </c:pt>
                <c:pt idx="54">
                  <c:v>1965</c:v>
                </c:pt>
                <c:pt idx="55">
                  <c:v>1964</c:v>
                </c:pt>
                <c:pt idx="56">
                  <c:v>1963</c:v>
                </c:pt>
                <c:pt idx="57">
                  <c:v>1962</c:v>
                </c:pt>
                <c:pt idx="58">
                  <c:v>1961</c:v>
                </c:pt>
                <c:pt idx="59">
                  <c:v>1960</c:v>
                </c:pt>
                <c:pt idx="60">
                  <c:v>1959</c:v>
                </c:pt>
                <c:pt idx="61">
                  <c:v>1958</c:v>
                </c:pt>
                <c:pt idx="62">
                  <c:v>1957</c:v>
                </c:pt>
                <c:pt idx="63">
                  <c:v>1956</c:v>
                </c:pt>
                <c:pt idx="64">
                  <c:v>1955</c:v>
                </c:pt>
                <c:pt idx="65">
                  <c:v>1954</c:v>
                </c:pt>
                <c:pt idx="66">
                  <c:v>1953</c:v>
                </c:pt>
                <c:pt idx="67">
                  <c:v>1952</c:v>
                </c:pt>
                <c:pt idx="68">
                  <c:v>1951</c:v>
                </c:pt>
                <c:pt idx="69">
                  <c:v>1950</c:v>
                </c:pt>
                <c:pt idx="70">
                  <c:v>1949</c:v>
                </c:pt>
                <c:pt idx="71">
                  <c:v>1948</c:v>
                </c:pt>
                <c:pt idx="72">
                  <c:v>1947</c:v>
                </c:pt>
                <c:pt idx="73">
                  <c:v>1946</c:v>
                </c:pt>
                <c:pt idx="74">
                  <c:v>1945</c:v>
                </c:pt>
                <c:pt idx="75">
                  <c:v>1944</c:v>
                </c:pt>
                <c:pt idx="76">
                  <c:v>1943</c:v>
                </c:pt>
                <c:pt idx="77">
                  <c:v>1942</c:v>
                </c:pt>
                <c:pt idx="78">
                  <c:v>1941</c:v>
                </c:pt>
                <c:pt idx="79">
                  <c:v>1940</c:v>
                </c:pt>
                <c:pt idx="80">
                  <c:v>1939</c:v>
                </c:pt>
                <c:pt idx="81">
                  <c:v>1938</c:v>
                </c:pt>
                <c:pt idx="82">
                  <c:v>1937</c:v>
                </c:pt>
                <c:pt idx="83">
                  <c:v>1936</c:v>
                </c:pt>
                <c:pt idx="84">
                  <c:v>1935</c:v>
                </c:pt>
                <c:pt idx="85">
                  <c:v>1934</c:v>
                </c:pt>
                <c:pt idx="86">
                  <c:v>1933</c:v>
                </c:pt>
                <c:pt idx="87">
                  <c:v>1932</c:v>
                </c:pt>
                <c:pt idx="88">
                  <c:v>1931</c:v>
                </c:pt>
                <c:pt idx="89">
                  <c:v>1930</c:v>
                </c:pt>
                <c:pt idx="90">
                  <c:v>1929</c:v>
                </c:pt>
                <c:pt idx="91">
                  <c:v>1928</c:v>
                </c:pt>
                <c:pt idx="92">
                  <c:v>1927</c:v>
                </c:pt>
                <c:pt idx="93">
                  <c:v>1926</c:v>
                </c:pt>
                <c:pt idx="94">
                  <c:v>1925</c:v>
                </c:pt>
                <c:pt idx="95">
                  <c:v>1924</c:v>
                </c:pt>
                <c:pt idx="96">
                  <c:v>1923</c:v>
                </c:pt>
                <c:pt idx="97">
                  <c:v>1922</c:v>
                </c:pt>
                <c:pt idx="98">
                  <c:v>1921</c:v>
                </c:pt>
                <c:pt idx="99">
                  <c:v>1920</c:v>
                </c:pt>
                <c:pt idx="100">
                  <c:v>1919</c:v>
                </c:pt>
                <c:pt idx="101">
                  <c:v>1918</c:v>
                </c:pt>
                <c:pt idx="102">
                  <c:v>1917</c:v>
                </c:pt>
                <c:pt idx="103">
                  <c:v>1916</c:v>
                </c:pt>
                <c:pt idx="104">
                  <c:v>1915</c:v>
                </c:pt>
                <c:pt idx="105">
                  <c:v>1914</c:v>
                </c:pt>
                <c:pt idx="106">
                  <c:v>1913</c:v>
                </c:pt>
                <c:pt idx="107">
                  <c:v>1912</c:v>
                </c:pt>
                <c:pt idx="108">
                  <c:v>1911</c:v>
                </c:pt>
                <c:pt idx="109">
                  <c:v>1910</c:v>
                </c:pt>
                <c:pt idx="110">
                  <c:v>1909</c:v>
                </c:pt>
                <c:pt idx="111">
                  <c:v>1908</c:v>
                </c:pt>
                <c:pt idx="112">
                  <c:v>1907</c:v>
                </c:pt>
                <c:pt idx="113">
                  <c:v>1906</c:v>
                </c:pt>
                <c:pt idx="114">
                  <c:v>1905</c:v>
                </c:pt>
                <c:pt idx="115">
                  <c:v>1904</c:v>
                </c:pt>
                <c:pt idx="116">
                  <c:v>1903</c:v>
                </c:pt>
                <c:pt idx="117">
                  <c:v>1902</c:v>
                </c:pt>
                <c:pt idx="118">
                  <c:v>1901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Inflation!$C$3:$C$121</c15:sqref>
                  </c15:fullRef>
                </c:ext>
              </c:extLst>
              <c:f>Inflation!$C$4:$C$121</c:f>
              <c:numCache>
                <c:formatCode>0.0%</c:formatCode>
                <c:ptCount val="118"/>
                <c:pt idx="0">
                  <c:v>1.2E-2</c:v>
                </c:pt>
                <c:pt idx="1">
                  <c:v>0.01</c:v>
                </c:pt>
                <c:pt idx="2">
                  <c:v>2E-3</c:v>
                </c:pt>
                <c:pt idx="3">
                  <c:v>0</c:v>
                </c:pt>
                <c:pt idx="4">
                  <c:v>5.0000000000000001E-3</c:v>
                </c:pt>
                <c:pt idx="5">
                  <c:v>8.9999999999999993E-3</c:v>
                </c:pt>
                <c:pt idx="6">
                  <c:v>0.02</c:v>
                </c:pt>
                <c:pt idx="7">
                  <c:v>2.1000000000000001E-2</c:v>
                </c:pt>
                <c:pt idx="8">
                  <c:v>1.4999999999999999E-2</c:v>
                </c:pt>
                <c:pt idx="9">
                  <c:v>1E-3</c:v>
                </c:pt>
                <c:pt idx="10">
                  <c:v>2.8000000000000001E-2</c:v>
                </c:pt>
                <c:pt idx="11">
                  <c:v>1.4999999999999999E-2</c:v>
                </c:pt>
                <c:pt idx="12">
                  <c:v>1.6E-2</c:v>
                </c:pt>
                <c:pt idx="13">
                  <c:v>1.9E-2</c:v>
                </c:pt>
                <c:pt idx="14">
                  <c:v>2.1000000000000001E-2</c:v>
                </c:pt>
                <c:pt idx="15">
                  <c:v>2.1000000000000001E-2</c:v>
                </c:pt>
                <c:pt idx="16">
                  <c:v>0.02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5.0000000000000001E-3</c:v>
                </c:pt>
                <c:pt idx="20">
                  <c:v>6.0000000000000001E-3</c:v>
                </c:pt>
                <c:pt idx="21">
                  <c:v>1.2E-2</c:v>
                </c:pt>
                <c:pt idx="22">
                  <c:v>0.02</c:v>
                </c:pt>
                <c:pt idx="23">
                  <c:v>1.9E-2</c:v>
                </c:pt>
                <c:pt idx="24">
                  <c:v>2.1000000000000001E-2</c:v>
                </c:pt>
                <c:pt idx="25">
                  <c:v>2.1000000000000001E-2</c:v>
                </c:pt>
                <c:pt idx="26">
                  <c:v>2.3E-2</c:v>
                </c:pt>
                <c:pt idx="27">
                  <c:v>3.3000000000000002E-2</c:v>
                </c:pt>
                <c:pt idx="28">
                  <c:v>3.4000000000000002E-2</c:v>
                </c:pt>
                <c:pt idx="29">
                  <c:v>3.5999999999999997E-2</c:v>
                </c:pt>
                <c:pt idx="30">
                  <c:v>2.7E-2</c:v>
                </c:pt>
                <c:pt idx="31">
                  <c:v>3.1E-2</c:v>
                </c:pt>
                <c:pt idx="32">
                  <c:v>2.7E-2</c:v>
                </c:pt>
                <c:pt idx="33">
                  <c:v>5.8000000000000003E-2</c:v>
                </c:pt>
                <c:pt idx="34">
                  <c:v>7.3999999999999996E-2</c:v>
                </c:pt>
                <c:pt idx="35">
                  <c:v>9.6000000000000002E-2</c:v>
                </c:pt>
                <c:pt idx="36">
                  <c:v>0.11799999999999999</c:v>
                </c:pt>
                <c:pt idx="37">
                  <c:v>0.13400000000000001</c:v>
                </c:pt>
                <c:pt idx="38">
                  <c:v>0.13600000000000001</c:v>
                </c:pt>
                <c:pt idx="39">
                  <c:v>0.108</c:v>
                </c:pt>
                <c:pt idx="40">
                  <c:v>9.0999999999999998E-2</c:v>
                </c:pt>
                <c:pt idx="41">
                  <c:v>9.4E-2</c:v>
                </c:pt>
                <c:pt idx="42">
                  <c:v>9.6000000000000002E-2</c:v>
                </c:pt>
                <c:pt idx="43">
                  <c:v>0.11799999999999999</c:v>
                </c:pt>
                <c:pt idx="44">
                  <c:v>0.13700000000000001</c:v>
                </c:pt>
                <c:pt idx="45">
                  <c:v>9.1999999999999998E-2</c:v>
                </c:pt>
                <c:pt idx="46">
                  <c:v>6.2E-2</c:v>
                </c:pt>
                <c:pt idx="47">
                  <c:v>5.7000000000000002E-2</c:v>
                </c:pt>
                <c:pt idx="48">
                  <c:v>5.1999999999999998E-2</c:v>
                </c:pt>
                <c:pt idx="49">
                  <c:v>6.5000000000000002E-2</c:v>
                </c:pt>
                <c:pt idx="50">
                  <c:v>4.4999999999999998E-2</c:v>
                </c:pt>
                <c:pt idx="51">
                  <c:v>2.7E-2</c:v>
                </c:pt>
                <c:pt idx="52">
                  <c:v>2.7E-2</c:v>
                </c:pt>
                <c:pt idx="53">
                  <c:v>2.5000000000000001E-2</c:v>
                </c:pt>
                <c:pt idx="54">
                  <c:v>3.4000000000000002E-2</c:v>
                </c:pt>
                <c:pt idx="55">
                  <c:v>4.8000000000000001E-2</c:v>
                </c:pt>
                <c:pt idx="56">
                  <c:v>4.8000000000000001E-2</c:v>
                </c:pt>
                <c:pt idx="57">
                  <c:v>3.3000000000000002E-2</c:v>
                </c:pt>
                <c:pt idx="58">
                  <c:v>3.5999999999999997E-2</c:v>
                </c:pt>
                <c:pt idx="59">
                  <c:v>6.2E-2</c:v>
                </c:pt>
                <c:pt idx="60">
                  <c:v>0.151</c:v>
                </c:pt>
                <c:pt idx="61">
                  <c:v>0.03</c:v>
                </c:pt>
                <c:pt idx="62">
                  <c:v>4.2000000000000003E-2</c:v>
                </c:pt>
                <c:pt idx="63">
                  <c:v>0.01</c:v>
                </c:pt>
                <c:pt idx="64">
                  <c:v>4.0000000000000001E-3</c:v>
                </c:pt>
                <c:pt idx="65">
                  <c:v>-1.7000000000000001E-2</c:v>
                </c:pt>
                <c:pt idx="66">
                  <c:v>0.11899999999999999</c:v>
                </c:pt>
                <c:pt idx="67">
                  <c:v>0.16200000000000001</c:v>
                </c:pt>
                <c:pt idx="68">
                  <c:v>0.1</c:v>
                </c:pt>
                <c:pt idx="69">
                  <c:v>0.13200000000000001</c:v>
                </c:pt>
                <c:pt idx="70">
                  <c:v>0.58699999999999997</c:v>
                </c:pt>
                <c:pt idx="71">
                  <c:v>0.49199999999999999</c:v>
                </c:pt>
                <c:pt idx="72">
                  <c:v>0.52600000000000002</c:v>
                </c:pt>
                <c:pt idx="73">
                  <c:v>0.48499999999999999</c:v>
                </c:pt>
                <c:pt idx="74">
                  <c:v>0.222</c:v>
                </c:pt>
                <c:pt idx="75">
                  <c:v>0.24099999999999999</c:v>
                </c:pt>
                <c:pt idx="76">
                  <c:v>0.20300000000000001</c:v>
                </c:pt>
                <c:pt idx="77">
                  <c:v>0.17499999999999999</c:v>
                </c:pt>
                <c:pt idx="78">
                  <c:v>0.17799999999999999</c:v>
                </c:pt>
                <c:pt idx="79">
                  <c:v>7.0000000000000007E-2</c:v>
                </c:pt>
                <c:pt idx="80">
                  <c:v>0.13700000000000001</c:v>
                </c:pt>
                <c:pt idx="81">
                  <c:v>0.25700000000000001</c:v>
                </c:pt>
                <c:pt idx="82">
                  <c:v>7.6999999999999999E-2</c:v>
                </c:pt>
                <c:pt idx="83">
                  <c:v>-8.5000000000000006E-2</c:v>
                </c:pt>
                <c:pt idx="84">
                  <c:v>-4.1000000000000002E-2</c:v>
                </c:pt>
                <c:pt idx="85">
                  <c:v>-3.9E-2</c:v>
                </c:pt>
                <c:pt idx="86">
                  <c:v>-8.3000000000000004E-2</c:v>
                </c:pt>
                <c:pt idx="87">
                  <c:v>-4.4999999999999998E-2</c:v>
                </c:pt>
                <c:pt idx="88">
                  <c:v>1.0999999999999999E-2</c:v>
                </c:pt>
                <c:pt idx="89">
                  <c:v>6.0999999999999999E-2</c:v>
                </c:pt>
                <c:pt idx="90">
                  <c:v>0</c:v>
                </c:pt>
                <c:pt idx="91">
                  <c:v>3.7999999999999999E-2</c:v>
                </c:pt>
                <c:pt idx="92">
                  <c:v>0.317</c:v>
                </c:pt>
                <c:pt idx="93">
                  <c:v>7.1999999999999995E-2</c:v>
                </c:pt>
                <c:pt idx="94">
                  <c:v>0.14199999999999999</c:v>
                </c:pt>
                <c:pt idx="95">
                  <c:v>8.8999999999999996E-2</c:v>
                </c:pt>
                <c:pt idx="96">
                  <c:v>-2.1000000000000001E-2</c:v>
                </c:pt>
                <c:pt idx="97">
                  <c:v>-0.13300000000000001</c:v>
                </c:pt>
                <c:pt idx="98">
                  <c:v>0.39500000000000002</c:v>
                </c:pt>
                <c:pt idx="99">
                  <c:v>0.22600000000000001</c:v>
                </c:pt>
                <c:pt idx="100">
                  <c:v>0.29199999999999998</c:v>
                </c:pt>
                <c:pt idx="101">
                  <c:v>0.2</c:v>
                </c:pt>
                <c:pt idx="102">
                  <c:v>0.112</c:v>
                </c:pt>
                <c:pt idx="103">
                  <c:v>0.19800000000000001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0.155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8.5000000000000006E-2</c:v>
                </c:pt>
                <c:pt idx="112">
                  <c:v>-7.9000000000000001E-2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7-4FEF-ACED-3E6064CB9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305928"/>
        <c:axId val="475299368"/>
      </c:lineChart>
      <c:catAx>
        <c:axId val="47530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99368"/>
        <c:crosses val="autoZero"/>
        <c:auto val="1"/>
        <c:lblAlgn val="ctr"/>
        <c:lblOffset val="100"/>
        <c:noMultiLvlLbl val="0"/>
      </c:catAx>
      <c:valAx>
        <c:axId val="47529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0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Inflation cumulée entre 1900 et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Inflation!$D$2</c:f>
              <c:strCache>
                <c:ptCount val="1"/>
                <c:pt idx="0">
                  <c:v>Inflateur Cumulé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Inflation!$B$3:$B$121</c:f>
              <c:numCache>
                <c:formatCode>General</c:formatCode>
                <c:ptCount val="119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  <c:pt idx="10">
                  <c:v>2009</c:v>
                </c:pt>
                <c:pt idx="11">
                  <c:v>2008</c:v>
                </c:pt>
                <c:pt idx="12">
                  <c:v>2007</c:v>
                </c:pt>
                <c:pt idx="13">
                  <c:v>2006</c:v>
                </c:pt>
                <c:pt idx="14">
                  <c:v>2005</c:v>
                </c:pt>
                <c:pt idx="15">
                  <c:v>2004</c:v>
                </c:pt>
                <c:pt idx="16">
                  <c:v>2003</c:v>
                </c:pt>
                <c:pt idx="17">
                  <c:v>2002</c:v>
                </c:pt>
                <c:pt idx="18">
                  <c:v>2001</c:v>
                </c:pt>
                <c:pt idx="19">
                  <c:v>2000</c:v>
                </c:pt>
                <c:pt idx="20">
                  <c:v>1999</c:v>
                </c:pt>
                <c:pt idx="21">
                  <c:v>1998</c:v>
                </c:pt>
                <c:pt idx="22">
                  <c:v>1997</c:v>
                </c:pt>
                <c:pt idx="23">
                  <c:v>1996</c:v>
                </c:pt>
                <c:pt idx="24">
                  <c:v>1995</c:v>
                </c:pt>
                <c:pt idx="25">
                  <c:v>1994</c:v>
                </c:pt>
                <c:pt idx="26">
                  <c:v>1993</c:v>
                </c:pt>
                <c:pt idx="27">
                  <c:v>1992</c:v>
                </c:pt>
                <c:pt idx="28">
                  <c:v>1991</c:v>
                </c:pt>
                <c:pt idx="29">
                  <c:v>1990</c:v>
                </c:pt>
                <c:pt idx="30">
                  <c:v>1989</c:v>
                </c:pt>
                <c:pt idx="31">
                  <c:v>1988</c:v>
                </c:pt>
                <c:pt idx="32">
                  <c:v>1987</c:v>
                </c:pt>
                <c:pt idx="33">
                  <c:v>1986</c:v>
                </c:pt>
                <c:pt idx="34">
                  <c:v>1985</c:v>
                </c:pt>
                <c:pt idx="35">
                  <c:v>1984</c:v>
                </c:pt>
                <c:pt idx="36">
                  <c:v>1983</c:v>
                </c:pt>
                <c:pt idx="37">
                  <c:v>1982</c:v>
                </c:pt>
                <c:pt idx="38">
                  <c:v>1981</c:v>
                </c:pt>
                <c:pt idx="39">
                  <c:v>1980</c:v>
                </c:pt>
                <c:pt idx="40">
                  <c:v>1979</c:v>
                </c:pt>
                <c:pt idx="41">
                  <c:v>1978</c:v>
                </c:pt>
                <c:pt idx="42">
                  <c:v>1977</c:v>
                </c:pt>
                <c:pt idx="43">
                  <c:v>1976</c:v>
                </c:pt>
                <c:pt idx="44">
                  <c:v>1975</c:v>
                </c:pt>
                <c:pt idx="45">
                  <c:v>1974</c:v>
                </c:pt>
                <c:pt idx="46">
                  <c:v>1973</c:v>
                </c:pt>
                <c:pt idx="47">
                  <c:v>1972</c:v>
                </c:pt>
                <c:pt idx="48">
                  <c:v>1971</c:v>
                </c:pt>
                <c:pt idx="49">
                  <c:v>1970</c:v>
                </c:pt>
                <c:pt idx="50">
                  <c:v>1969</c:v>
                </c:pt>
                <c:pt idx="51">
                  <c:v>1968</c:v>
                </c:pt>
                <c:pt idx="52">
                  <c:v>1967</c:v>
                </c:pt>
                <c:pt idx="53">
                  <c:v>1966</c:v>
                </c:pt>
                <c:pt idx="54">
                  <c:v>1965</c:v>
                </c:pt>
                <c:pt idx="55">
                  <c:v>1964</c:v>
                </c:pt>
                <c:pt idx="56">
                  <c:v>1963</c:v>
                </c:pt>
                <c:pt idx="57">
                  <c:v>1962</c:v>
                </c:pt>
                <c:pt idx="58">
                  <c:v>1961</c:v>
                </c:pt>
                <c:pt idx="59">
                  <c:v>1960</c:v>
                </c:pt>
                <c:pt idx="60">
                  <c:v>1959</c:v>
                </c:pt>
                <c:pt idx="61">
                  <c:v>1958</c:v>
                </c:pt>
                <c:pt idx="62">
                  <c:v>1957</c:v>
                </c:pt>
                <c:pt idx="63">
                  <c:v>1956</c:v>
                </c:pt>
                <c:pt idx="64">
                  <c:v>1955</c:v>
                </c:pt>
                <c:pt idx="65">
                  <c:v>1954</c:v>
                </c:pt>
                <c:pt idx="66">
                  <c:v>1953</c:v>
                </c:pt>
                <c:pt idx="67">
                  <c:v>1952</c:v>
                </c:pt>
                <c:pt idx="68">
                  <c:v>1951</c:v>
                </c:pt>
                <c:pt idx="69">
                  <c:v>1950</c:v>
                </c:pt>
                <c:pt idx="70">
                  <c:v>1949</c:v>
                </c:pt>
                <c:pt idx="71">
                  <c:v>1948</c:v>
                </c:pt>
                <c:pt idx="72">
                  <c:v>1947</c:v>
                </c:pt>
                <c:pt idx="73">
                  <c:v>1946</c:v>
                </c:pt>
                <c:pt idx="74">
                  <c:v>1945</c:v>
                </c:pt>
                <c:pt idx="75">
                  <c:v>1944</c:v>
                </c:pt>
                <c:pt idx="76">
                  <c:v>1943</c:v>
                </c:pt>
                <c:pt idx="77">
                  <c:v>1942</c:v>
                </c:pt>
                <c:pt idx="78">
                  <c:v>1941</c:v>
                </c:pt>
                <c:pt idx="79">
                  <c:v>1940</c:v>
                </c:pt>
                <c:pt idx="80">
                  <c:v>1939</c:v>
                </c:pt>
                <c:pt idx="81">
                  <c:v>1938</c:v>
                </c:pt>
                <c:pt idx="82">
                  <c:v>1937</c:v>
                </c:pt>
                <c:pt idx="83">
                  <c:v>1936</c:v>
                </c:pt>
                <c:pt idx="84">
                  <c:v>1935</c:v>
                </c:pt>
                <c:pt idx="85">
                  <c:v>1934</c:v>
                </c:pt>
                <c:pt idx="86">
                  <c:v>1933</c:v>
                </c:pt>
                <c:pt idx="87">
                  <c:v>1932</c:v>
                </c:pt>
                <c:pt idx="88">
                  <c:v>1931</c:v>
                </c:pt>
                <c:pt idx="89">
                  <c:v>1930</c:v>
                </c:pt>
                <c:pt idx="90">
                  <c:v>1929</c:v>
                </c:pt>
                <c:pt idx="91">
                  <c:v>1928</c:v>
                </c:pt>
                <c:pt idx="92">
                  <c:v>1927</c:v>
                </c:pt>
                <c:pt idx="93">
                  <c:v>1926</c:v>
                </c:pt>
                <c:pt idx="94">
                  <c:v>1925</c:v>
                </c:pt>
                <c:pt idx="95">
                  <c:v>1924</c:v>
                </c:pt>
                <c:pt idx="96">
                  <c:v>1923</c:v>
                </c:pt>
                <c:pt idx="97">
                  <c:v>1922</c:v>
                </c:pt>
                <c:pt idx="98">
                  <c:v>1921</c:v>
                </c:pt>
                <c:pt idx="99">
                  <c:v>1920</c:v>
                </c:pt>
                <c:pt idx="100">
                  <c:v>1919</c:v>
                </c:pt>
                <c:pt idx="101">
                  <c:v>1918</c:v>
                </c:pt>
                <c:pt idx="102">
                  <c:v>1917</c:v>
                </c:pt>
                <c:pt idx="103">
                  <c:v>1916</c:v>
                </c:pt>
                <c:pt idx="104">
                  <c:v>1915</c:v>
                </c:pt>
                <c:pt idx="105">
                  <c:v>1914</c:v>
                </c:pt>
                <c:pt idx="106">
                  <c:v>1913</c:v>
                </c:pt>
                <c:pt idx="107">
                  <c:v>1912</c:v>
                </c:pt>
                <c:pt idx="108">
                  <c:v>1911</c:v>
                </c:pt>
                <c:pt idx="109">
                  <c:v>1910</c:v>
                </c:pt>
                <c:pt idx="110">
                  <c:v>1909</c:v>
                </c:pt>
                <c:pt idx="111">
                  <c:v>1908</c:v>
                </c:pt>
                <c:pt idx="112">
                  <c:v>1907</c:v>
                </c:pt>
                <c:pt idx="113">
                  <c:v>1906</c:v>
                </c:pt>
                <c:pt idx="114">
                  <c:v>1905</c:v>
                </c:pt>
                <c:pt idx="115">
                  <c:v>1904</c:v>
                </c:pt>
                <c:pt idx="116">
                  <c:v>1903</c:v>
                </c:pt>
                <c:pt idx="117">
                  <c:v>1902</c:v>
                </c:pt>
                <c:pt idx="118">
                  <c:v>1901</c:v>
                </c:pt>
              </c:numCache>
            </c:numRef>
          </c:cat>
          <c:val>
            <c:numRef>
              <c:f>Inflation!$D$3:$D$121</c:f>
              <c:numCache>
                <c:formatCode>0</c:formatCode>
                <c:ptCount val="119"/>
                <c:pt idx="0">
                  <c:v>2641.7001776768057</c:v>
                </c:pt>
                <c:pt idx="1">
                  <c:v>2618.1369451702731</c:v>
                </c:pt>
                <c:pt idx="2">
                  <c:v>2587.0918430536294</c:v>
                </c:pt>
                <c:pt idx="3">
                  <c:v>2561.4770723303263</c:v>
                </c:pt>
                <c:pt idx="4">
                  <c:v>2556.3643436430402</c:v>
                </c:pt>
                <c:pt idx="5">
                  <c:v>2556.3643436430402</c:v>
                </c:pt>
                <c:pt idx="6">
                  <c:v>2543.646113077652</c:v>
                </c:pt>
                <c:pt idx="7">
                  <c:v>2520.9574956170982</c:v>
                </c:pt>
                <c:pt idx="8">
                  <c:v>2471.5269564873511</c:v>
                </c:pt>
                <c:pt idx="9">
                  <c:v>2420.6924157564654</c:v>
                </c:pt>
                <c:pt idx="10">
                  <c:v>2384.9186362132664</c:v>
                </c:pt>
                <c:pt idx="11">
                  <c:v>2382.5361001131532</c:v>
                </c:pt>
                <c:pt idx="12">
                  <c:v>2317.6421207326393</c:v>
                </c:pt>
                <c:pt idx="13">
                  <c:v>2283.3912519533392</c:v>
                </c:pt>
                <c:pt idx="14">
                  <c:v>2247.4323345997432</c:v>
                </c:pt>
                <c:pt idx="15">
                  <c:v>2205.5273156032808</c:v>
                </c:pt>
                <c:pt idx="16">
                  <c:v>2160.1638742441537</c:v>
                </c:pt>
                <c:pt idx="17">
                  <c:v>2115.7334713458899</c:v>
                </c:pt>
                <c:pt idx="18">
                  <c:v>2074.2485013195001</c:v>
                </c:pt>
                <c:pt idx="19">
                  <c:v>2041.5831705900591</c:v>
                </c:pt>
                <c:pt idx="20">
                  <c:v>2007.4564115929784</c:v>
                </c:pt>
                <c:pt idx="21">
                  <c:v>1997.4690662616699</c:v>
                </c:pt>
                <c:pt idx="22">
                  <c:v>1985.5557318704473</c:v>
                </c:pt>
                <c:pt idx="23">
                  <c:v>1962.011592757359</c:v>
                </c:pt>
                <c:pt idx="24">
                  <c:v>1923.540777213097</c:v>
                </c:pt>
                <c:pt idx="25">
                  <c:v>1887.6749531041187</c:v>
                </c:pt>
                <c:pt idx="26">
                  <c:v>1848.8491215515364</c:v>
                </c:pt>
                <c:pt idx="27">
                  <c:v>1810.8218624402903</c:v>
                </c:pt>
                <c:pt idx="28">
                  <c:v>1770.1093474489642</c:v>
                </c:pt>
                <c:pt idx="29">
                  <c:v>1713.5618077918336</c:v>
                </c:pt>
                <c:pt idx="30">
                  <c:v>1657.2164485414253</c:v>
                </c:pt>
                <c:pt idx="31">
                  <c:v>1599.6297765843874</c:v>
                </c:pt>
                <c:pt idx="32">
                  <c:v>1557.5752449701922</c:v>
                </c:pt>
                <c:pt idx="33">
                  <c:v>1510.74223566459</c:v>
                </c:pt>
                <c:pt idx="34">
                  <c:v>1471.0245722147906</c:v>
                </c:pt>
                <c:pt idx="35">
                  <c:v>1390.3823933977228</c:v>
                </c:pt>
                <c:pt idx="36">
                  <c:v>1294.5832340760919</c:v>
                </c:pt>
                <c:pt idx="37">
                  <c:v>1181.1890821862153</c:v>
                </c:pt>
                <c:pt idx="38">
                  <c:v>1056.5197515082427</c:v>
                </c:pt>
                <c:pt idx="39">
                  <c:v>931.67526588028466</c:v>
                </c:pt>
                <c:pt idx="40">
                  <c:v>820.13667771151813</c:v>
                </c:pt>
                <c:pt idx="41">
                  <c:v>740.1955575013701</c:v>
                </c:pt>
                <c:pt idx="42">
                  <c:v>678.45605637155825</c:v>
                </c:pt>
                <c:pt idx="43">
                  <c:v>620.16092904164373</c:v>
                </c:pt>
                <c:pt idx="44">
                  <c:v>565.84026372412745</c:v>
                </c:pt>
                <c:pt idx="45">
                  <c:v>506.11830386773477</c:v>
                </c:pt>
                <c:pt idx="46">
                  <c:v>445.13483189774388</c:v>
                </c:pt>
                <c:pt idx="47">
                  <c:v>407.6326299429889</c:v>
                </c:pt>
                <c:pt idx="48">
                  <c:v>383.83486811957522</c:v>
                </c:pt>
                <c:pt idx="49">
                  <c:v>363.13610985768707</c:v>
                </c:pt>
                <c:pt idx="50">
                  <c:v>345.18641621453145</c:v>
                </c:pt>
                <c:pt idx="51">
                  <c:v>324.11870067092156</c:v>
                </c:pt>
                <c:pt idx="52">
                  <c:v>310.16143604872877</c:v>
                </c:pt>
                <c:pt idx="53">
                  <c:v>302.0072405537768</c:v>
                </c:pt>
                <c:pt idx="54">
                  <c:v>294.06742020815659</c:v>
                </c:pt>
                <c:pt idx="55">
                  <c:v>286.89504410551865</c:v>
                </c:pt>
                <c:pt idx="56">
                  <c:v>277.46135793570471</c:v>
                </c:pt>
                <c:pt idx="57">
                  <c:v>264.75320413712279</c:v>
                </c:pt>
                <c:pt idx="58">
                  <c:v>252.62710318427747</c:v>
                </c:pt>
                <c:pt idx="59">
                  <c:v>244.55673105931993</c:v>
                </c:pt>
                <c:pt idx="60">
                  <c:v>236.05862071362927</c:v>
                </c:pt>
                <c:pt idx="61">
                  <c:v>222.2774206343025</c:v>
                </c:pt>
                <c:pt idx="62">
                  <c:v>193.11678595508471</c:v>
                </c:pt>
                <c:pt idx="63">
                  <c:v>187.49202519911137</c:v>
                </c:pt>
                <c:pt idx="64">
                  <c:v>179.9347650663257</c:v>
                </c:pt>
                <c:pt idx="65">
                  <c:v>178.15323273893634</c:v>
                </c:pt>
                <c:pt idx="66">
                  <c:v>177.44345890332303</c:v>
                </c:pt>
                <c:pt idx="67">
                  <c:v>180.51216572057277</c:v>
                </c:pt>
                <c:pt idx="68">
                  <c:v>161.31560832937691</c:v>
                </c:pt>
                <c:pt idx="69">
                  <c:v>138.82582472407651</c:v>
                </c:pt>
                <c:pt idx="70">
                  <c:v>126.20529520370592</c:v>
                </c:pt>
                <c:pt idx="71">
                  <c:v>111.488776681719</c:v>
                </c:pt>
                <c:pt idx="72">
                  <c:v>70.251277052122873</c:v>
                </c:pt>
                <c:pt idx="73">
                  <c:v>47.085306335203001</c:v>
                </c:pt>
                <c:pt idx="74">
                  <c:v>30.855377677066187</c:v>
                </c:pt>
                <c:pt idx="75">
                  <c:v>20.778032105768474</c:v>
                </c:pt>
                <c:pt idx="76">
                  <c:v>17.003299595555216</c:v>
                </c:pt>
                <c:pt idx="77">
                  <c:v>13.701288956934098</c:v>
                </c:pt>
                <c:pt idx="78">
                  <c:v>11.389267628374146</c:v>
                </c:pt>
                <c:pt idx="79">
                  <c:v>9.6929937262758692</c:v>
                </c:pt>
                <c:pt idx="80">
                  <c:v>8.2283478151747609</c:v>
                </c:pt>
                <c:pt idx="81">
                  <c:v>7.6900446870792161</c:v>
                </c:pt>
                <c:pt idx="82">
                  <c:v>6.763451791626399</c:v>
                </c:pt>
                <c:pt idx="83">
                  <c:v>5.3806299058284797</c:v>
                </c:pt>
                <c:pt idx="84">
                  <c:v>4.9959423452446421</c:v>
                </c:pt>
                <c:pt idx="85">
                  <c:v>5.4600462789558932</c:v>
                </c:pt>
                <c:pt idx="86">
                  <c:v>5.6934789144482725</c:v>
                </c:pt>
                <c:pt idx="87">
                  <c:v>5.9245358110804087</c:v>
                </c:pt>
                <c:pt idx="88">
                  <c:v>6.4607806009600965</c:v>
                </c:pt>
                <c:pt idx="89">
                  <c:v>6.7652152889634518</c:v>
                </c:pt>
                <c:pt idx="90">
                  <c:v>6.6916076053050961</c:v>
                </c:pt>
                <c:pt idx="91">
                  <c:v>6.3068874696560755</c:v>
                </c:pt>
                <c:pt idx="92">
                  <c:v>6.3068874696560755</c:v>
                </c:pt>
                <c:pt idx="93">
                  <c:v>6.0759994890713633</c:v>
                </c:pt>
                <c:pt idx="94">
                  <c:v>4.6135151777307239</c:v>
                </c:pt>
                <c:pt idx="95">
                  <c:v>4.3036522180323917</c:v>
                </c:pt>
                <c:pt idx="96">
                  <c:v>3.7685220823400978</c:v>
                </c:pt>
                <c:pt idx="97">
                  <c:v>3.4605345108724497</c:v>
                </c:pt>
                <c:pt idx="98">
                  <c:v>3.5347645667747187</c:v>
                </c:pt>
                <c:pt idx="99">
                  <c:v>4.0770064207320864</c:v>
                </c:pt>
                <c:pt idx="100">
                  <c:v>2.9225852478366208</c:v>
                </c:pt>
                <c:pt idx="101">
                  <c:v>2.3838378856742422</c:v>
                </c:pt>
                <c:pt idx="102">
                  <c:v>1.8450757629057604</c:v>
                </c:pt>
                <c:pt idx="103">
                  <c:v>1.5375631357548003</c:v>
                </c:pt>
                <c:pt idx="104">
                  <c:v>1.3827006616500002</c:v>
                </c:pt>
                <c:pt idx="105">
                  <c:v>1.1541741750000001</c:v>
                </c:pt>
                <c:pt idx="106">
                  <c:v>1.1541741750000001</c:v>
                </c:pt>
                <c:pt idx="107">
                  <c:v>1.1541741750000001</c:v>
                </c:pt>
                <c:pt idx="108">
                  <c:v>1.1541741750000001</c:v>
                </c:pt>
                <c:pt idx="109">
                  <c:v>0.99928500000000009</c:v>
                </c:pt>
                <c:pt idx="110">
                  <c:v>0.99928500000000009</c:v>
                </c:pt>
                <c:pt idx="111">
                  <c:v>0.99928500000000009</c:v>
                </c:pt>
                <c:pt idx="112">
                  <c:v>0.99928500000000009</c:v>
                </c:pt>
                <c:pt idx="113">
                  <c:v>0.92100000000000004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A-4B03-942B-DE0D7198D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305928"/>
        <c:axId val="475299368"/>
      </c:lineChart>
      <c:catAx>
        <c:axId val="47530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99368"/>
        <c:crosses val="autoZero"/>
        <c:auto val="1"/>
        <c:lblAlgn val="ctr"/>
        <c:lblOffset val="100"/>
        <c:noMultiLvlLbl val="0"/>
      </c:catAx>
      <c:valAx>
        <c:axId val="47529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0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Inflation cumulée entre 1970 et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Inflation!$D$2</c:f>
              <c:strCache>
                <c:ptCount val="1"/>
                <c:pt idx="0">
                  <c:v>Inflateur Cumulé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Inflation!$B$3:$B$52</c:f>
              <c:numCache>
                <c:formatCode>General</c:formatCode>
                <c:ptCount val="50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  <c:pt idx="10">
                  <c:v>2009</c:v>
                </c:pt>
                <c:pt idx="11">
                  <c:v>2008</c:v>
                </c:pt>
                <c:pt idx="12">
                  <c:v>2007</c:v>
                </c:pt>
                <c:pt idx="13">
                  <c:v>2006</c:v>
                </c:pt>
                <c:pt idx="14">
                  <c:v>2005</c:v>
                </c:pt>
                <c:pt idx="15">
                  <c:v>2004</c:v>
                </c:pt>
                <c:pt idx="16">
                  <c:v>2003</c:v>
                </c:pt>
                <c:pt idx="17">
                  <c:v>2002</c:v>
                </c:pt>
                <c:pt idx="18">
                  <c:v>2001</c:v>
                </c:pt>
                <c:pt idx="19">
                  <c:v>2000</c:v>
                </c:pt>
                <c:pt idx="20">
                  <c:v>1999</c:v>
                </c:pt>
                <c:pt idx="21">
                  <c:v>1998</c:v>
                </c:pt>
                <c:pt idx="22">
                  <c:v>1997</c:v>
                </c:pt>
                <c:pt idx="23">
                  <c:v>1996</c:v>
                </c:pt>
                <c:pt idx="24">
                  <c:v>1995</c:v>
                </c:pt>
                <c:pt idx="25">
                  <c:v>1994</c:v>
                </c:pt>
                <c:pt idx="26">
                  <c:v>1993</c:v>
                </c:pt>
                <c:pt idx="27">
                  <c:v>1992</c:v>
                </c:pt>
                <c:pt idx="28">
                  <c:v>1991</c:v>
                </c:pt>
                <c:pt idx="29">
                  <c:v>1990</c:v>
                </c:pt>
                <c:pt idx="30">
                  <c:v>1989</c:v>
                </c:pt>
                <c:pt idx="31">
                  <c:v>1988</c:v>
                </c:pt>
                <c:pt idx="32">
                  <c:v>1987</c:v>
                </c:pt>
                <c:pt idx="33">
                  <c:v>1986</c:v>
                </c:pt>
                <c:pt idx="34">
                  <c:v>1985</c:v>
                </c:pt>
                <c:pt idx="35">
                  <c:v>1984</c:v>
                </c:pt>
                <c:pt idx="36">
                  <c:v>1983</c:v>
                </c:pt>
                <c:pt idx="37">
                  <c:v>1982</c:v>
                </c:pt>
                <c:pt idx="38">
                  <c:v>1981</c:v>
                </c:pt>
                <c:pt idx="39">
                  <c:v>1980</c:v>
                </c:pt>
                <c:pt idx="40">
                  <c:v>1979</c:v>
                </c:pt>
                <c:pt idx="41">
                  <c:v>1978</c:v>
                </c:pt>
                <c:pt idx="42">
                  <c:v>1977</c:v>
                </c:pt>
                <c:pt idx="43">
                  <c:v>1976</c:v>
                </c:pt>
                <c:pt idx="44">
                  <c:v>1975</c:v>
                </c:pt>
                <c:pt idx="45">
                  <c:v>1974</c:v>
                </c:pt>
                <c:pt idx="46">
                  <c:v>1973</c:v>
                </c:pt>
                <c:pt idx="47">
                  <c:v>1972</c:v>
                </c:pt>
                <c:pt idx="48">
                  <c:v>1971</c:v>
                </c:pt>
                <c:pt idx="49">
                  <c:v>1970</c:v>
                </c:pt>
              </c:numCache>
            </c:numRef>
          </c:cat>
          <c:val>
            <c:numRef>
              <c:f>Inflation!$D$3:$D$52</c:f>
              <c:numCache>
                <c:formatCode>0</c:formatCode>
                <c:ptCount val="50"/>
                <c:pt idx="0">
                  <c:v>2641.7001776768057</c:v>
                </c:pt>
                <c:pt idx="1">
                  <c:v>2618.1369451702731</c:v>
                </c:pt>
                <c:pt idx="2">
                  <c:v>2587.0918430536294</c:v>
                </c:pt>
                <c:pt idx="3">
                  <c:v>2561.4770723303263</c:v>
                </c:pt>
                <c:pt idx="4">
                  <c:v>2556.3643436430402</c:v>
                </c:pt>
                <c:pt idx="5">
                  <c:v>2556.3643436430402</c:v>
                </c:pt>
                <c:pt idx="6">
                  <c:v>2543.646113077652</c:v>
                </c:pt>
                <c:pt idx="7">
                  <c:v>2520.9574956170982</c:v>
                </c:pt>
                <c:pt idx="8">
                  <c:v>2471.5269564873511</c:v>
                </c:pt>
                <c:pt idx="9">
                  <c:v>2420.6924157564654</c:v>
                </c:pt>
                <c:pt idx="10">
                  <c:v>2384.9186362132664</c:v>
                </c:pt>
                <c:pt idx="11">
                  <c:v>2382.5361001131532</c:v>
                </c:pt>
                <c:pt idx="12">
                  <c:v>2317.6421207326393</c:v>
                </c:pt>
                <c:pt idx="13">
                  <c:v>2283.3912519533392</c:v>
                </c:pt>
                <c:pt idx="14">
                  <c:v>2247.4323345997432</c:v>
                </c:pt>
                <c:pt idx="15">
                  <c:v>2205.5273156032808</c:v>
                </c:pt>
                <c:pt idx="16">
                  <c:v>2160.1638742441537</c:v>
                </c:pt>
                <c:pt idx="17">
                  <c:v>2115.7334713458899</c:v>
                </c:pt>
                <c:pt idx="18">
                  <c:v>2074.2485013195001</c:v>
                </c:pt>
                <c:pt idx="19">
                  <c:v>2041.5831705900591</c:v>
                </c:pt>
                <c:pt idx="20">
                  <c:v>2007.4564115929784</c:v>
                </c:pt>
                <c:pt idx="21">
                  <c:v>1997.4690662616699</c:v>
                </c:pt>
                <c:pt idx="22">
                  <c:v>1985.5557318704473</c:v>
                </c:pt>
                <c:pt idx="23">
                  <c:v>1962.011592757359</c:v>
                </c:pt>
                <c:pt idx="24">
                  <c:v>1923.540777213097</c:v>
                </c:pt>
                <c:pt idx="25">
                  <c:v>1887.6749531041187</c:v>
                </c:pt>
                <c:pt idx="26">
                  <c:v>1848.8491215515364</c:v>
                </c:pt>
                <c:pt idx="27">
                  <c:v>1810.8218624402903</c:v>
                </c:pt>
                <c:pt idx="28">
                  <c:v>1770.1093474489642</c:v>
                </c:pt>
                <c:pt idx="29">
                  <c:v>1713.5618077918336</c:v>
                </c:pt>
                <c:pt idx="30">
                  <c:v>1657.2164485414253</c:v>
                </c:pt>
                <c:pt idx="31">
                  <c:v>1599.6297765843874</c:v>
                </c:pt>
                <c:pt idx="32">
                  <c:v>1557.5752449701922</c:v>
                </c:pt>
                <c:pt idx="33">
                  <c:v>1510.74223566459</c:v>
                </c:pt>
                <c:pt idx="34">
                  <c:v>1471.0245722147906</c:v>
                </c:pt>
                <c:pt idx="35">
                  <c:v>1390.3823933977228</c:v>
                </c:pt>
                <c:pt idx="36">
                  <c:v>1294.5832340760919</c:v>
                </c:pt>
                <c:pt idx="37">
                  <c:v>1181.1890821862153</c:v>
                </c:pt>
                <c:pt idx="38">
                  <c:v>1056.5197515082427</c:v>
                </c:pt>
                <c:pt idx="39">
                  <c:v>931.67526588028466</c:v>
                </c:pt>
                <c:pt idx="40">
                  <c:v>820.13667771151813</c:v>
                </c:pt>
                <c:pt idx="41">
                  <c:v>740.1955575013701</c:v>
                </c:pt>
                <c:pt idx="42">
                  <c:v>678.45605637155825</c:v>
                </c:pt>
                <c:pt idx="43">
                  <c:v>620.16092904164373</c:v>
                </c:pt>
                <c:pt idx="44">
                  <c:v>565.84026372412745</c:v>
                </c:pt>
                <c:pt idx="45">
                  <c:v>506.11830386773477</c:v>
                </c:pt>
                <c:pt idx="46">
                  <c:v>445.13483189774388</c:v>
                </c:pt>
                <c:pt idx="47">
                  <c:v>407.6326299429889</c:v>
                </c:pt>
                <c:pt idx="48">
                  <c:v>383.83486811957522</c:v>
                </c:pt>
                <c:pt idx="49">
                  <c:v>363.13610985768707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A-465C-A604-EFDED6082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305928"/>
        <c:axId val="475299368"/>
      </c:lineChart>
      <c:catAx>
        <c:axId val="47530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99368"/>
        <c:crosses val="autoZero"/>
        <c:auto val="1"/>
        <c:lblAlgn val="ctr"/>
        <c:lblOffset val="100"/>
        <c:noMultiLvlLbl val="0"/>
      </c:catAx>
      <c:valAx>
        <c:axId val="47529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0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Inflation cumulée entre 2000 et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Inflation!$D$2</c:f>
              <c:strCache>
                <c:ptCount val="1"/>
                <c:pt idx="0">
                  <c:v>Inflateur Cumulé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Inflation!$B$3:$B$22</c:f>
              <c:numCache>
                <c:formatCode>General</c:formatCode>
                <c:ptCount val="20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  <c:pt idx="10">
                  <c:v>2009</c:v>
                </c:pt>
                <c:pt idx="11">
                  <c:v>2008</c:v>
                </c:pt>
                <c:pt idx="12">
                  <c:v>2007</c:v>
                </c:pt>
                <c:pt idx="13">
                  <c:v>2006</c:v>
                </c:pt>
                <c:pt idx="14">
                  <c:v>2005</c:v>
                </c:pt>
                <c:pt idx="15">
                  <c:v>2004</c:v>
                </c:pt>
                <c:pt idx="16">
                  <c:v>2003</c:v>
                </c:pt>
                <c:pt idx="17">
                  <c:v>2002</c:v>
                </c:pt>
                <c:pt idx="18">
                  <c:v>2001</c:v>
                </c:pt>
                <c:pt idx="19">
                  <c:v>2000</c:v>
                </c:pt>
              </c:numCache>
            </c:numRef>
          </c:cat>
          <c:val>
            <c:numRef>
              <c:f>Inflation!$D$3:$D$22</c:f>
              <c:numCache>
                <c:formatCode>0</c:formatCode>
                <c:ptCount val="20"/>
                <c:pt idx="0">
                  <c:v>2641.7001776768057</c:v>
                </c:pt>
                <c:pt idx="1">
                  <c:v>2618.1369451702731</c:v>
                </c:pt>
                <c:pt idx="2">
                  <c:v>2587.0918430536294</c:v>
                </c:pt>
                <c:pt idx="3">
                  <c:v>2561.4770723303263</c:v>
                </c:pt>
                <c:pt idx="4">
                  <c:v>2556.3643436430402</c:v>
                </c:pt>
                <c:pt idx="5">
                  <c:v>2556.3643436430402</c:v>
                </c:pt>
                <c:pt idx="6">
                  <c:v>2543.646113077652</c:v>
                </c:pt>
                <c:pt idx="7">
                  <c:v>2520.9574956170982</c:v>
                </c:pt>
                <c:pt idx="8">
                  <c:v>2471.5269564873511</c:v>
                </c:pt>
                <c:pt idx="9">
                  <c:v>2420.6924157564654</c:v>
                </c:pt>
                <c:pt idx="10">
                  <c:v>2384.9186362132664</c:v>
                </c:pt>
                <c:pt idx="11">
                  <c:v>2382.5361001131532</c:v>
                </c:pt>
                <c:pt idx="12">
                  <c:v>2317.6421207326393</c:v>
                </c:pt>
                <c:pt idx="13">
                  <c:v>2283.3912519533392</c:v>
                </c:pt>
                <c:pt idx="14">
                  <c:v>2247.4323345997432</c:v>
                </c:pt>
                <c:pt idx="15">
                  <c:v>2205.5273156032808</c:v>
                </c:pt>
                <c:pt idx="16">
                  <c:v>2160.1638742441537</c:v>
                </c:pt>
                <c:pt idx="17">
                  <c:v>2115.7334713458899</c:v>
                </c:pt>
                <c:pt idx="18">
                  <c:v>2074.2485013195001</c:v>
                </c:pt>
                <c:pt idx="19">
                  <c:v>2041.5831705900591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E-44E3-8AC2-30A059E51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305928"/>
        <c:axId val="475299368"/>
      </c:lineChart>
      <c:catAx>
        <c:axId val="47530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99368"/>
        <c:crosses val="autoZero"/>
        <c:auto val="1"/>
        <c:lblAlgn val="ctr"/>
        <c:lblOffset val="100"/>
        <c:noMultiLvlLbl val="0"/>
      </c:catAx>
      <c:valAx>
        <c:axId val="47529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0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Inflation cumulée entre 2010 et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Inflation!$D$2</c:f>
              <c:strCache>
                <c:ptCount val="1"/>
                <c:pt idx="0">
                  <c:v>Inflateur Cumulé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Inflation!$B$3:$B$12</c:f>
              <c:numCache>
                <c:formatCode>General</c:formatCode>
                <c:ptCount val="10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</c:numCache>
            </c:numRef>
          </c:cat>
          <c:val>
            <c:numRef>
              <c:f>Inflation!$D$3:$D$12</c:f>
              <c:numCache>
                <c:formatCode>0</c:formatCode>
                <c:ptCount val="10"/>
                <c:pt idx="0">
                  <c:v>2641.7001776768057</c:v>
                </c:pt>
                <c:pt idx="1">
                  <c:v>2618.1369451702731</c:v>
                </c:pt>
                <c:pt idx="2">
                  <c:v>2587.0918430536294</c:v>
                </c:pt>
                <c:pt idx="3">
                  <c:v>2561.4770723303263</c:v>
                </c:pt>
                <c:pt idx="4">
                  <c:v>2556.3643436430402</c:v>
                </c:pt>
                <c:pt idx="5">
                  <c:v>2556.3643436430402</c:v>
                </c:pt>
                <c:pt idx="6">
                  <c:v>2543.646113077652</c:v>
                </c:pt>
                <c:pt idx="7">
                  <c:v>2520.9574956170982</c:v>
                </c:pt>
                <c:pt idx="8">
                  <c:v>2471.5269564873511</c:v>
                </c:pt>
                <c:pt idx="9">
                  <c:v>2420.6924157564654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8-4184-B1F1-4C8CB4CF0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305928"/>
        <c:axId val="475299368"/>
      </c:lineChart>
      <c:catAx>
        <c:axId val="47530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99368"/>
        <c:crosses val="autoZero"/>
        <c:auto val="1"/>
        <c:lblAlgn val="ctr"/>
        <c:lblOffset val="100"/>
        <c:noMultiLvlLbl val="0"/>
      </c:catAx>
      <c:valAx>
        <c:axId val="47529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0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Rentabilité projet informatique 2019-2024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FNT!$B$32</c:f>
              <c:strCache>
                <c:ptCount val="1"/>
                <c:pt idx="0">
                  <c:v>VAN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FNT!$C$3:$H$3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FNT!$C$32:$H$32</c:f>
              <c:numCache>
                <c:formatCode>_-* #,##0\ _€_-;\-* #,##0\ _€_-;_-* "-"??\ _€_-;_-@_-</c:formatCode>
                <c:ptCount val="6"/>
                <c:pt idx="0">
                  <c:v>-175776</c:v>
                </c:pt>
                <c:pt idx="1">
                  <c:v>-121612.764</c:v>
                </c:pt>
                <c:pt idx="2">
                  <c:v>-53745.162562499987</c:v>
                </c:pt>
                <c:pt idx="3">
                  <c:v>18193.180406250016</c:v>
                </c:pt>
                <c:pt idx="4">
                  <c:v>90979.553648437519</c:v>
                </c:pt>
                <c:pt idx="5">
                  <c:v>163977.93445898441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2-4F2B-9CB3-AE864EAC724C}"/>
            </c:ext>
          </c:extLst>
        </c:ser>
        <c:ser>
          <c:idx val="1"/>
          <c:order val="1"/>
          <c:tx>
            <c:strRef>
              <c:f>FNT!$B$33</c:f>
              <c:strCache>
                <c:ptCount val="1"/>
                <c:pt idx="0">
                  <c:v>VAN actualisée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FNT!$C$3:$H$3</c:f>
              <c:numCache>
                <c:formatCode>General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FNT!$C$33:$H$33</c:f>
              <c:numCache>
                <c:formatCode>_-* #,##0\ _€_-;\-* #,##0\ _€_-;_-* "-"??\ _€_-;_-@_-</c:formatCode>
                <c:ptCount val="6"/>
                <c:pt idx="0">
                  <c:v>-175776</c:v>
                </c:pt>
                <c:pt idx="1">
                  <c:v>-121612.764</c:v>
                </c:pt>
                <c:pt idx="2">
                  <c:v>-53745.162562499987</c:v>
                </c:pt>
                <c:pt idx="3">
                  <c:v>18193.180406250016</c:v>
                </c:pt>
                <c:pt idx="4">
                  <c:v>90979.553648437519</c:v>
                </c:pt>
                <c:pt idx="5">
                  <c:v>163977.93445898441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2-4F2B-9CB3-AE864EAC7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489264"/>
        <c:axId val="413490832"/>
      </c:lineChart>
      <c:catAx>
        <c:axId val="41348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90832"/>
        <c:crosses val="autoZero"/>
        <c:auto val="1"/>
        <c:lblAlgn val="ctr"/>
        <c:lblOffset val="100"/>
        <c:noMultiLvlLbl val="0"/>
      </c:catAx>
      <c:valAx>
        <c:axId val="4134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8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Feuil1!$A$18</c:f>
              <c:strCache>
                <c:ptCount val="1"/>
                <c:pt idx="0">
                  <c:v>Marge=Résultat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Feuil1!$B$18:$H$18</c:f>
              <c:numCache>
                <c:formatCode>_-* #,##0_-;\-* #,##0_-;_-* "-"??_-;_-@_-</c:formatCode>
                <c:ptCount val="7"/>
                <c:pt idx="0">
                  <c:v>-120000</c:v>
                </c:pt>
                <c:pt idx="1">
                  <c:v>-5000</c:v>
                </c:pt>
                <c:pt idx="2">
                  <c:v>15000</c:v>
                </c:pt>
                <c:pt idx="3">
                  <c:v>40000</c:v>
                </c:pt>
                <c:pt idx="4">
                  <c:v>45000</c:v>
                </c:pt>
                <c:pt idx="5">
                  <c:v>30000</c:v>
                </c:pt>
                <c:pt idx="6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5-4E75-B10F-F5F25D2B9B56}"/>
            </c:ext>
          </c:extLst>
        </c:ser>
        <c:ser>
          <c:idx val="1"/>
          <c:order val="1"/>
          <c:tx>
            <c:strRef>
              <c:f>Feuil1!$A$19</c:f>
              <c:strCache>
                <c:ptCount val="1"/>
                <c:pt idx="0">
                  <c:v>VAN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Feuil1!$B$19:$H$19</c:f>
              <c:numCache>
                <c:formatCode>_-* #,##0_-;\-* #,##0_-;_-* "-"??_-;_-@_-</c:formatCode>
                <c:ptCount val="7"/>
                <c:pt idx="0">
                  <c:v>-120000</c:v>
                </c:pt>
                <c:pt idx="1">
                  <c:v>-125000</c:v>
                </c:pt>
                <c:pt idx="2">
                  <c:v>-110000</c:v>
                </c:pt>
                <c:pt idx="3">
                  <c:v>-70000</c:v>
                </c:pt>
                <c:pt idx="4">
                  <c:v>-25000</c:v>
                </c:pt>
                <c:pt idx="5">
                  <c:v>5000</c:v>
                </c:pt>
                <c:pt idx="6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55-4E75-B10F-F5F25D2B9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332031"/>
        <c:axId val="1632331199"/>
      </c:lineChart>
      <c:catAx>
        <c:axId val="1632332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31199"/>
        <c:crosses val="autoZero"/>
        <c:auto val="1"/>
        <c:lblAlgn val="ctr"/>
        <c:lblOffset val="100"/>
        <c:noMultiLvlLbl val="0"/>
      </c:catAx>
      <c:valAx>
        <c:axId val="163233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3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142874</xdr:colOff>
      <xdr:row>1</xdr:row>
      <xdr:rowOff>4762</xdr:rowOff>
    </xdr:from>
    <xdr:to>
      <xdr:col>9</xdr:col>
      <xdr:colOff>495299</xdr:colOff>
      <xdr:row>18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5</xdr:row>
      <xdr:rowOff>66675</xdr:rowOff>
    </xdr:from>
    <xdr:to>
      <xdr:col>8</xdr:col>
      <xdr:colOff>142875</xdr:colOff>
      <xdr:row>15</xdr:row>
      <xdr:rowOff>76200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229350" y="1019175"/>
          <a:ext cx="9525" cy="19145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1</xdr:row>
      <xdr:rowOff>0</xdr:rowOff>
    </xdr:from>
    <xdr:to>
      <xdr:col>19</xdr:col>
      <xdr:colOff>381000</xdr:colOff>
      <xdr:row>17</xdr:row>
      <xdr:rowOff>195263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0.77627</cdr:x>
      <cdr:y>0.24623</cdr:y>
    </cdr:from>
    <cdr:to>
      <cdr:x>0.77821</cdr:x>
      <cdr:y>0.83309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602E0090-4FCB-4363-B86F-16F8676327FF}"/>
            </a:ext>
          </a:extLst>
        </cdr:cNvPr>
        <cdr:cNvCxnSpPr/>
      </cdr:nvCxnSpPr>
      <cdr:spPr>
        <a:xfrm xmlns:a="http://schemas.openxmlformats.org/drawingml/2006/main" flipH="1">
          <a:off x="3822700" y="803275"/>
          <a:ext cx="9525" cy="1914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161924</xdr:colOff>
      <xdr:row>8</xdr:row>
      <xdr:rowOff>4762</xdr:rowOff>
    </xdr:from>
    <xdr:to>
      <xdr:col>40</xdr:col>
      <xdr:colOff>57149</xdr:colOff>
      <xdr:row>22</xdr:row>
      <xdr:rowOff>80962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D3FB4E3-D5E7-4419-B5A6-01FEB7E52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40</xdr:col>
      <xdr:colOff>123825</xdr:colOff>
      <xdr:row>37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39B2A32-2403-41D8-906C-0D344BABE9C9}"/>
            </a:ext>
            <a:ext uri="{147F2762-F138-4A5C-976F-8EAC2B608ADB}">
              <a16:predDERef xmlns:a16="http://schemas.microsoft.com/office/drawing/2014/main" pred="{2D3FB4E3-D5E7-4419-B5A6-01FEB7E52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40</xdr:col>
      <xdr:colOff>123825</xdr:colOff>
      <xdr:row>52</xdr:row>
      <xdr:rowOff>76200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AD363EA-A678-4D75-B33B-810C6FD33297}"/>
            </a:ext>
            <a:ext uri="{147F2762-F138-4A5C-976F-8EAC2B608ADB}">
              <a16:predDERef xmlns:a16="http://schemas.microsoft.com/office/drawing/2014/main" pred="{939B2A32-2403-41D8-906C-0D344BABE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54</xdr:row>
      <xdr:rowOff>0</xdr:rowOff>
    </xdr:from>
    <xdr:to>
      <xdr:col>40</xdr:col>
      <xdr:colOff>123825</xdr:colOff>
      <xdr:row>68</xdr:row>
      <xdr:rowOff>76200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7AA5758-65C4-4B0C-9E38-5CCB71023494}"/>
            </a:ext>
            <a:ext uri="{147F2762-F138-4A5C-976F-8EAC2B608ADB}">
              <a16:predDERef xmlns:a16="http://schemas.microsoft.com/office/drawing/2014/main" pred="{3AD363EA-A678-4D75-B33B-810C6FD33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761999</xdr:colOff>
      <xdr:row>2</xdr:row>
      <xdr:rowOff>71437</xdr:rowOff>
    </xdr:from>
    <xdr:to>
      <xdr:col>16</xdr:col>
      <xdr:colOff>352425</xdr:colOff>
      <xdr:row>16</xdr:row>
      <xdr:rowOff>52387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11D1E9F-DEF1-4D8A-9C39-211C5FA8E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16</xdr:col>
      <xdr:colOff>352426</xdr:colOff>
      <xdr:row>30</xdr:row>
      <xdr:rowOff>142875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4DF97DA-96DB-43C8-91FC-0ADBD814BFDB}"/>
            </a:ext>
            <a:ext uri="{147F2762-F138-4A5C-976F-8EAC2B608ADB}">
              <a16:predDERef xmlns:a16="http://schemas.microsoft.com/office/drawing/2014/main" pred="{E11D1E9F-DEF1-4D8A-9C39-211C5FA8E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16</xdr:col>
      <xdr:colOff>352426</xdr:colOff>
      <xdr:row>45</xdr:row>
      <xdr:rowOff>142875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0AB9488-24AB-40BF-BEC0-391391EFD442}"/>
            </a:ext>
            <a:ext uri="{147F2762-F138-4A5C-976F-8EAC2B608ADB}">
              <a16:predDERef xmlns:a16="http://schemas.microsoft.com/office/drawing/2014/main" pred="{E4DF97DA-96DB-43C8-91FC-0ADBD814B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47</xdr:row>
      <xdr:rowOff>0</xdr:rowOff>
    </xdr:from>
    <xdr:to>
      <xdr:col>16</xdr:col>
      <xdr:colOff>352426</xdr:colOff>
      <xdr:row>60</xdr:row>
      <xdr:rowOff>142875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6D4BA54-C2AC-41B3-8370-8086C6066F23}"/>
            </a:ext>
            <a:ext uri="{147F2762-F138-4A5C-976F-8EAC2B608ADB}">
              <a16:predDERef xmlns:a16="http://schemas.microsoft.com/office/drawing/2014/main" pred="{30AB9488-24AB-40BF-BEC0-391391EFD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62</xdr:row>
      <xdr:rowOff>0</xdr:rowOff>
    </xdr:from>
    <xdr:to>
      <xdr:col>16</xdr:col>
      <xdr:colOff>352426</xdr:colOff>
      <xdr:row>75</xdr:row>
      <xdr:rowOff>142875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597750D-80D4-4C32-A56A-D4827216E3DF}"/>
            </a:ext>
            <a:ext uri="{147F2762-F138-4A5C-976F-8EAC2B608ADB}">
              <a16:predDERef xmlns:a16="http://schemas.microsoft.com/office/drawing/2014/main" pred="{36D4BA54-C2AC-41B3-8370-8086C6066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85725</xdr:rowOff>
    </xdr:from>
    <xdr:to>
      <xdr:col>15</xdr:col>
      <xdr:colOff>0</xdr:colOff>
      <xdr:row>23</xdr:row>
      <xdr:rowOff>185737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206828</xdr:colOff>
      <xdr:row>0</xdr:row>
      <xdr:rowOff>125185</xdr:rowOff>
    </xdr:from>
    <xdr:to>
      <xdr:col>12</xdr:col>
      <xdr:colOff>669470</xdr:colOff>
      <xdr:row>13</xdr:row>
      <xdr:rowOff>16328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4E7F8C-68A7-42F6-A898-75958DA62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EUR%20CONSULTANT/Client/DL%20SYSTEME/Modules%20Formation/Outils/Cas%20pratique%20n&#176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EUR%20CONSULTANT/Client/LAMACHE_IUT%20Lumi&#232;re%20Lyon2/Programme%20Gestion%20de%20Projet/2008%202009/Gestion%20de%20Projet%201/Travaux%20Dirig&#233;s/GdP_Contr&#244;le1_C3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"/>
      <sheetName val="Immo"/>
      <sheetName val="Calcul de prêt"/>
      <sheetName val="Equilibre financier (vierge)"/>
      <sheetName val="Résultats Trésorerie (vierge)"/>
      <sheetName val="Equilibre financier"/>
      <sheetName val="Résultats Trésoreri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ortissement"/>
      <sheetName val="Données"/>
      <sheetName val="Tableaux vierges"/>
      <sheetName val="CAF VAN M1 (L)"/>
      <sheetName val="CAF VAN M2 (L)"/>
      <sheetName val="CAF VAN M2 (L) Prix"/>
      <sheetName val="Décision"/>
      <sheetName val="Ques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L6" sqref="L6"/>
    </sheetView>
  </sheetViews>
  <sheetFormatPr defaultColWidth="11.42578125" defaultRowHeight="14.45"/>
  <cols>
    <col min="1" max="1" width="4.5703125" customWidth="1"/>
    <col min="13" max="13" width="4.5703125" customWidth="1"/>
  </cols>
  <sheetData>
    <row r="1" spans="1:12" ht="15" thickBot="1"/>
    <row r="2" spans="1:12">
      <c r="B2" s="84" t="s">
        <v>0</v>
      </c>
      <c r="C2" s="83">
        <v>100000</v>
      </c>
      <c r="K2" s="84" t="s">
        <v>1</v>
      </c>
      <c r="L2" s="83">
        <v>259374.25</v>
      </c>
    </row>
    <row r="3" spans="1:12" ht="15" thickBot="1">
      <c r="A3" s="80"/>
      <c r="B3" s="82" t="s">
        <v>2</v>
      </c>
      <c r="C3" s="81">
        <v>0.1</v>
      </c>
      <c r="K3" s="82" t="s">
        <v>2</v>
      </c>
      <c r="L3" s="81">
        <v>0.1</v>
      </c>
    </row>
    <row r="4" spans="1:12" ht="15" thickBot="1">
      <c r="A4" s="80"/>
      <c r="B4" s="79" t="s">
        <v>3</v>
      </c>
      <c r="C4" s="78" t="s">
        <v>4</v>
      </c>
      <c r="K4" s="79" t="s">
        <v>3</v>
      </c>
      <c r="L4" s="78" t="s">
        <v>5</v>
      </c>
    </row>
    <row r="5" spans="1:12">
      <c r="A5" s="75"/>
      <c r="B5" s="77">
        <v>0</v>
      </c>
      <c r="C5" s="76">
        <f>$C$2*POWER(1+$C$3,B5)</f>
        <v>100000</v>
      </c>
      <c r="K5" s="77">
        <v>0</v>
      </c>
      <c r="L5" s="76">
        <f>$L$2/POWER(1+$L$3,K5)</f>
        <v>259374.25</v>
      </c>
    </row>
    <row r="6" spans="1:12">
      <c r="A6" s="75"/>
      <c r="B6" s="34">
        <v>1</v>
      </c>
      <c r="C6" s="41">
        <f t="shared" ref="C6:C18" si="0">$C$2*POWER(1+$C$3,B6)</f>
        <v>110000.00000000001</v>
      </c>
      <c r="K6" s="34">
        <v>1</v>
      </c>
      <c r="L6" s="41">
        <f t="shared" ref="L6:L18" si="1">$L$2/POWER(1+$L$3,K6)</f>
        <v>235794.77272727271</v>
      </c>
    </row>
    <row r="7" spans="1:12">
      <c r="A7" s="75"/>
      <c r="B7" s="34">
        <v>2</v>
      </c>
      <c r="C7" s="41">
        <f t="shared" si="0"/>
        <v>121000.00000000001</v>
      </c>
      <c r="K7" s="34">
        <v>2</v>
      </c>
      <c r="L7" s="41">
        <f t="shared" si="1"/>
        <v>214358.88429752062</v>
      </c>
    </row>
    <row r="8" spans="1:12">
      <c r="A8" s="75"/>
      <c r="B8" s="34">
        <v>3</v>
      </c>
      <c r="C8" s="41">
        <f t="shared" si="0"/>
        <v>133100.00000000003</v>
      </c>
      <c r="K8" s="34">
        <v>3</v>
      </c>
      <c r="L8" s="41">
        <f t="shared" si="1"/>
        <v>194871.71299774598</v>
      </c>
    </row>
    <row r="9" spans="1:12">
      <c r="A9" s="75"/>
      <c r="B9" s="34">
        <v>4</v>
      </c>
      <c r="C9" s="41">
        <f t="shared" si="0"/>
        <v>146410.00000000003</v>
      </c>
      <c r="K9" s="34">
        <v>4</v>
      </c>
      <c r="L9" s="41">
        <f t="shared" si="1"/>
        <v>177156.10272522364</v>
      </c>
    </row>
    <row r="10" spans="1:12">
      <c r="A10" s="75"/>
      <c r="B10" s="34">
        <v>5</v>
      </c>
      <c r="C10" s="41">
        <f t="shared" si="0"/>
        <v>161051.00000000006</v>
      </c>
      <c r="K10" s="34">
        <v>5</v>
      </c>
      <c r="L10" s="41">
        <f t="shared" si="1"/>
        <v>161051.00247747602</v>
      </c>
    </row>
    <row r="11" spans="1:12">
      <c r="A11" s="75"/>
      <c r="B11" s="34">
        <v>6</v>
      </c>
      <c r="C11" s="41">
        <f t="shared" si="0"/>
        <v>177156.10000000009</v>
      </c>
      <c r="K11" s="34">
        <v>6</v>
      </c>
      <c r="L11" s="41">
        <f t="shared" si="1"/>
        <v>146410.00225225091</v>
      </c>
    </row>
    <row r="12" spans="1:12">
      <c r="A12" s="75"/>
      <c r="B12" s="34">
        <v>7</v>
      </c>
      <c r="C12" s="41">
        <f t="shared" si="0"/>
        <v>194871.71000000011</v>
      </c>
      <c r="K12" s="34">
        <v>7</v>
      </c>
      <c r="L12" s="41">
        <f t="shared" si="1"/>
        <v>133100.00204750081</v>
      </c>
    </row>
    <row r="13" spans="1:12">
      <c r="A13" s="75"/>
      <c r="B13" s="34">
        <v>8</v>
      </c>
      <c r="C13" s="41">
        <f t="shared" si="0"/>
        <v>214358.88100000011</v>
      </c>
      <c r="K13" s="34">
        <v>8</v>
      </c>
      <c r="L13" s="41">
        <f t="shared" si="1"/>
        <v>121000.00186136438</v>
      </c>
    </row>
    <row r="14" spans="1:12">
      <c r="A14" s="75"/>
      <c r="B14" s="34">
        <v>9</v>
      </c>
      <c r="C14" s="41">
        <f t="shared" si="0"/>
        <v>235794.76910000015</v>
      </c>
      <c r="K14" s="34">
        <v>9</v>
      </c>
      <c r="L14" s="41">
        <f t="shared" si="1"/>
        <v>110000.00169214942</v>
      </c>
    </row>
    <row r="15" spans="1:12">
      <c r="A15" s="75"/>
      <c r="B15" s="34">
        <v>10</v>
      </c>
      <c r="C15" s="41">
        <f t="shared" si="0"/>
        <v>259374.24601000018</v>
      </c>
      <c r="K15" s="34">
        <v>10</v>
      </c>
      <c r="L15" s="41">
        <f t="shared" si="1"/>
        <v>100000.00153831765</v>
      </c>
    </row>
    <row r="16" spans="1:12">
      <c r="A16" s="75"/>
      <c r="B16" s="34">
        <v>11</v>
      </c>
      <c r="C16" s="41">
        <f t="shared" si="0"/>
        <v>285311.67061100027</v>
      </c>
      <c r="K16" s="34">
        <v>11</v>
      </c>
      <c r="L16" s="41">
        <f t="shared" si="1"/>
        <v>90909.092307561485</v>
      </c>
    </row>
    <row r="17" spans="1:12">
      <c r="A17" s="75"/>
      <c r="B17" s="34">
        <v>12</v>
      </c>
      <c r="C17" s="41">
        <f t="shared" si="0"/>
        <v>313842.83767210029</v>
      </c>
      <c r="K17" s="34">
        <v>12</v>
      </c>
      <c r="L17" s="41">
        <f t="shared" si="1"/>
        <v>82644.629370510447</v>
      </c>
    </row>
    <row r="18" spans="1:12" ht="15" thickBot="1">
      <c r="A18" s="75"/>
      <c r="B18" s="42">
        <v>13</v>
      </c>
      <c r="C18" s="44">
        <f t="shared" si="0"/>
        <v>345227.12143931031</v>
      </c>
      <c r="K18" s="42">
        <v>13</v>
      </c>
      <c r="L18" s="44">
        <f t="shared" si="1"/>
        <v>75131.481245918592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17C3-FCBC-40C8-B6B9-F9EC6B9A2CB4}">
  <dimension ref="B1:DB54"/>
  <sheetViews>
    <sheetView workbookViewId="0">
      <selection activeCell="D66" sqref="D66"/>
    </sheetView>
  </sheetViews>
  <sheetFormatPr defaultColWidth="11.42578125" defaultRowHeight="14.45"/>
  <cols>
    <col min="7" max="130" width="3.42578125" customWidth="1"/>
  </cols>
  <sheetData>
    <row r="1" spans="2:106" ht="15" thickBot="1"/>
    <row r="2" spans="2:106" ht="15" thickBot="1">
      <c r="B2" s="131" t="s">
        <v>6</v>
      </c>
      <c r="C2" s="132"/>
      <c r="D2" s="132"/>
      <c r="E2" s="133"/>
    </row>
    <row r="3" spans="2:106">
      <c r="B3" s="86" t="s">
        <v>7</v>
      </c>
      <c r="C3" s="87" t="s">
        <v>8</v>
      </c>
      <c r="D3" s="88" t="s">
        <v>7</v>
      </c>
      <c r="E3" s="89" t="s">
        <v>8</v>
      </c>
    </row>
    <row r="4" spans="2:106" ht="15" thickBot="1">
      <c r="B4" s="90" t="s">
        <v>9</v>
      </c>
      <c r="C4" s="91" t="s">
        <v>10</v>
      </c>
      <c r="D4" s="92" t="s">
        <v>9</v>
      </c>
      <c r="E4" s="93" t="s">
        <v>10</v>
      </c>
    </row>
    <row r="5" spans="2:106">
      <c r="B5" s="94">
        <v>2019</v>
      </c>
      <c r="C5" s="98">
        <v>1</v>
      </c>
      <c r="D5" s="85">
        <v>1969</v>
      </c>
      <c r="E5" s="101">
        <v>7.3239999999999998</v>
      </c>
      <c r="F5" t="s">
        <v>11</v>
      </c>
      <c r="G5">
        <v>1</v>
      </c>
      <c r="H5">
        <v>1.0129999999999999</v>
      </c>
      <c r="I5">
        <v>1.0289999999999999</v>
      </c>
      <c r="J5">
        <v>1.0389999999999999</v>
      </c>
      <c r="K5">
        <v>1.0409999999999999</v>
      </c>
      <c r="L5">
        <v>1.042</v>
      </c>
      <c r="M5">
        <v>1.046</v>
      </c>
      <c r="N5">
        <v>1.054</v>
      </c>
      <c r="O5">
        <v>1.073</v>
      </c>
      <c r="P5">
        <v>1.095</v>
      </c>
      <c r="Q5">
        <v>1.111</v>
      </c>
      <c r="R5">
        <v>1.1120000000000001</v>
      </c>
      <c r="S5">
        <v>1.143</v>
      </c>
      <c r="T5">
        <v>1.1599999999999999</v>
      </c>
      <c r="U5">
        <v>1.179</v>
      </c>
      <c r="V5">
        <v>1.2010000000000001</v>
      </c>
      <c r="W5">
        <v>1.22</v>
      </c>
      <c r="X5">
        <v>1.2430000000000001</v>
      </c>
      <c r="Y5">
        <v>1.2649999999999999</v>
      </c>
      <c r="Z5">
        <v>1.2849999999999999</v>
      </c>
      <c r="AA5">
        <v>1.3049999999999999</v>
      </c>
      <c r="AB5">
        <v>1.3120000000000001</v>
      </c>
      <c r="AC5">
        <v>1.32</v>
      </c>
      <c r="AD5">
        <v>1.3340000000000001</v>
      </c>
      <c r="AE5">
        <v>1.359</v>
      </c>
      <c r="AF5">
        <v>1.3819999999999999</v>
      </c>
      <c r="AG5">
        <v>1.401</v>
      </c>
      <c r="AH5">
        <v>1.4259999999999999</v>
      </c>
      <c r="AI5">
        <v>1.4590000000000001</v>
      </c>
      <c r="AJ5">
        <v>1.506</v>
      </c>
      <c r="AK5">
        <v>1.5580000000000001</v>
      </c>
      <c r="AL5">
        <v>1.611</v>
      </c>
      <c r="AM5">
        <v>1.653</v>
      </c>
      <c r="AN5">
        <v>1.7070000000000001</v>
      </c>
      <c r="AO5">
        <v>1.7490000000000001</v>
      </c>
      <c r="AP5">
        <v>1.8540000000000001</v>
      </c>
      <c r="AQ5">
        <v>1.996</v>
      </c>
      <c r="AR5">
        <v>2.1850000000000001</v>
      </c>
      <c r="AS5">
        <v>2.444</v>
      </c>
      <c r="AT5">
        <v>2.77</v>
      </c>
      <c r="AU5">
        <v>3.1459999999999999</v>
      </c>
      <c r="AV5">
        <v>3.484</v>
      </c>
      <c r="AW5">
        <v>3.8</v>
      </c>
      <c r="AX5">
        <v>4.1559999999999997</v>
      </c>
      <c r="AY5">
        <v>4.556</v>
      </c>
      <c r="AZ5">
        <v>5.0919999999999996</v>
      </c>
      <c r="BA5">
        <v>5.7910000000000004</v>
      </c>
      <c r="BB5">
        <v>6.2149999999999999</v>
      </c>
      <c r="BC5">
        <v>6.5979999999999999</v>
      </c>
      <c r="BD5">
        <v>6.9610000000000003</v>
      </c>
      <c r="BE5">
        <v>7.3239999999999998</v>
      </c>
      <c r="BF5">
        <v>7.7960000000000003</v>
      </c>
      <c r="BG5">
        <v>8.1489999999999991</v>
      </c>
      <c r="BH5">
        <v>8.3699999999999992</v>
      </c>
      <c r="BI5">
        <v>8.5960000000000001</v>
      </c>
      <c r="BJ5">
        <v>8.8109999999999999</v>
      </c>
      <c r="BK5">
        <v>9.1129999999999995</v>
      </c>
      <c r="BL5">
        <v>9.5519999999999996</v>
      </c>
      <c r="BM5">
        <v>10.012</v>
      </c>
      <c r="BN5">
        <v>10.340999999999999</v>
      </c>
      <c r="BO5">
        <v>10.718</v>
      </c>
      <c r="BP5">
        <v>11.375999999999999</v>
      </c>
      <c r="BQ5">
        <v>13.093999999999999</v>
      </c>
      <c r="BR5">
        <v>13.446</v>
      </c>
      <c r="BS5">
        <v>13.706</v>
      </c>
      <c r="BT5">
        <v>13.859</v>
      </c>
      <c r="BU5">
        <v>13.82</v>
      </c>
      <c r="BV5">
        <v>13.659000000000001</v>
      </c>
      <c r="BW5">
        <v>15.265000000000001</v>
      </c>
      <c r="BX5">
        <v>17.86</v>
      </c>
      <c r="BY5">
        <v>19.86</v>
      </c>
      <c r="BZ5">
        <v>20.379000000000001</v>
      </c>
      <c r="CA5">
        <v>32.304000000000002</v>
      </c>
      <c r="CB5">
        <v>51.601999999999997</v>
      </c>
      <c r="CC5">
        <v>84.573999999999998</v>
      </c>
      <c r="CD5">
        <v>116.714</v>
      </c>
      <c r="CE5">
        <v>148.88800000000001</v>
      </c>
      <c r="CF5">
        <v>189.77799999999999</v>
      </c>
      <c r="CG5">
        <v>221.22900000000001</v>
      </c>
      <c r="CH5">
        <v>258.46600000000001</v>
      </c>
      <c r="CI5">
        <v>307.92399999999998</v>
      </c>
      <c r="CJ5">
        <v>332.78399999999999</v>
      </c>
      <c r="CK5">
        <v>384.52699999999999</v>
      </c>
      <c r="CL5">
        <v>489.47</v>
      </c>
      <c r="CM5">
        <v>533.96699999999998</v>
      </c>
      <c r="CN5">
        <v>478.50400000000002</v>
      </c>
      <c r="CO5">
        <v>451.81900000000002</v>
      </c>
      <c r="CP5">
        <v>430.303</v>
      </c>
      <c r="CQ5">
        <v>385.78899999999999</v>
      </c>
      <c r="CR5">
        <v>380.17099999999999</v>
      </c>
      <c r="CS5">
        <v>378.334</v>
      </c>
      <c r="CT5">
        <v>402.30399999999997</v>
      </c>
      <c r="CU5">
        <v>396.19799999999998</v>
      </c>
      <c r="CV5">
        <v>419.54599999999999</v>
      </c>
      <c r="CW5">
        <v>554.11699999999996</v>
      </c>
      <c r="CX5">
        <v>594.79899999999998</v>
      </c>
      <c r="CY5">
        <v>682.98199999999997</v>
      </c>
      <c r="CZ5">
        <v>745.85900000000004</v>
      </c>
      <c r="DA5">
        <v>705.54300000000001</v>
      </c>
      <c r="DB5">
        <v>633.27700000000004</v>
      </c>
    </row>
    <row r="6" spans="2:106" ht="15" customHeight="1">
      <c r="B6" s="95">
        <v>2018</v>
      </c>
      <c r="C6" s="99">
        <v>1.0129999999999999</v>
      </c>
      <c r="D6" s="85">
        <v>1968</v>
      </c>
      <c r="E6" s="101">
        <v>7.7960000000000003</v>
      </c>
      <c r="F6" s="130" t="s">
        <v>7</v>
      </c>
      <c r="G6" s="129">
        <v>2019</v>
      </c>
      <c r="H6" s="129">
        <v>2018</v>
      </c>
      <c r="I6" s="129">
        <v>2017</v>
      </c>
      <c r="J6" s="129">
        <v>2016</v>
      </c>
      <c r="K6" s="129">
        <v>2015</v>
      </c>
      <c r="L6" s="129">
        <v>2014</v>
      </c>
      <c r="M6" s="129">
        <v>2013</v>
      </c>
      <c r="N6" s="129">
        <v>2012</v>
      </c>
      <c r="O6" s="129">
        <v>2011</v>
      </c>
      <c r="P6" s="129">
        <v>2010</v>
      </c>
      <c r="Q6" s="129">
        <v>2009</v>
      </c>
      <c r="R6" s="129">
        <v>2008</v>
      </c>
      <c r="S6" s="129">
        <v>2007</v>
      </c>
      <c r="T6" s="129">
        <v>2006</v>
      </c>
      <c r="U6" s="129">
        <v>2005</v>
      </c>
      <c r="V6" s="129">
        <v>2004</v>
      </c>
      <c r="W6" s="129">
        <v>2003</v>
      </c>
      <c r="X6" s="129">
        <v>2002</v>
      </c>
      <c r="Y6" s="129">
        <v>2001</v>
      </c>
      <c r="Z6" s="129">
        <v>2000</v>
      </c>
      <c r="AA6" s="129">
        <v>1999</v>
      </c>
      <c r="AB6" s="129">
        <v>1998</v>
      </c>
      <c r="AC6" s="129">
        <v>1997</v>
      </c>
      <c r="AD6" s="129">
        <v>1996</v>
      </c>
      <c r="AE6" s="129">
        <v>1995</v>
      </c>
      <c r="AF6" s="129">
        <v>1994</v>
      </c>
      <c r="AG6" s="129">
        <v>1993</v>
      </c>
      <c r="AH6" s="129">
        <v>1992</v>
      </c>
      <c r="AI6" s="129">
        <v>1991</v>
      </c>
      <c r="AJ6" s="129">
        <v>1990</v>
      </c>
      <c r="AK6" s="129">
        <v>1989</v>
      </c>
      <c r="AL6" s="129">
        <v>1988</v>
      </c>
      <c r="AM6" s="129">
        <v>1987</v>
      </c>
      <c r="AN6" s="129">
        <v>1986</v>
      </c>
      <c r="AO6" s="129">
        <v>1985</v>
      </c>
      <c r="AP6" s="129">
        <v>1984</v>
      </c>
      <c r="AQ6" s="129">
        <v>1983</v>
      </c>
      <c r="AR6" s="129">
        <v>1982</v>
      </c>
      <c r="AS6" s="129">
        <v>1981</v>
      </c>
      <c r="AT6" s="129">
        <v>1980</v>
      </c>
      <c r="AU6" s="129">
        <v>1979</v>
      </c>
      <c r="AV6" s="129">
        <v>1978</v>
      </c>
      <c r="AW6" s="129">
        <v>1977</v>
      </c>
      <c r="AX6" s="129">
        <v>1976</v>
      </c>
      <c r="AY6" s="129">
        <v>1975</v>
      </c>
      <c r="AZ6" s="129">
        <v>1974</v>
      </c>
      <c r="BA6" s="129">
        <v>1973</v>
      </c>
      <c r="BB6" s="129">
        <v>1972</v>
      </c>
      <c r="BC6" s="129">
        <v>1971</v>
      </c>
      <c r="BD6" s="129">
        <v>1970</v>
      </c>
      <c r="BE6" s="129">
        <v>1969</v>
      </c>
      <c r="BF6" s="129">
        <v>1968</v>
      </c>
      <c r="BG6" s="129">
        <v>1967</v>
      </c>
      <c r="BH6" s="129">
        <v>1966</v>
      </c>
      <c r="BI6" s="129">
        <v>1965</v>
      </c>
      <c r="BJ6" s="129">
        <v>1964</v>
      </c>
      <c r="BK6" s="129">
        <v>1963</v>
      </c>
      <c r="BL6" s="129">
        <v>1962</v>
      </c>
      <c r="BM6" s="129">
        <v>1961</v>
      </c>
      <c r="BN6" s="129">
        <v>1960</v>
      </c>
      <c r="BO6" s="129">
        <v>1959</v>
      </c>
      <c r="BP6" s="129">
        <v>1958</v>
      </c>
      <c r="BQ6" s="129">
        <v>1957</v>
      </c>
      <c r="BR6" s="129">
        <v>1956</v>
      </c>
      <c r="BS6" s="129">
        <v>1955</v>
      </c>
      <c r="BT6" s="129">
        <v>1954</v>
      </c>
      <c r="BU6" s="129">
        <v>1953</v>
      </c>
      <c r="BV6" s="129">
        <v>1952</v>
      </c>
      <c r="BW6" s="129">
        <v>1951</v>
      </c>
      <c r="BX6" s="129">
        <v>1950</v>
      </c>
      <c r="BY6" s="129">
        <v>1949</v>
      </c>
      <c r="BZ6" s="129">
        <v>1948</v>
      </c>
      <c r="CA6" s="129">
        <v>1947</v>
      </c>
      <c r="CB6" s="129">
        <v>1946</v>
      </c>
      <c r="CC6" s="129">
        <v>1945</v>
      </c>
      <c r="CD6" s="129">
        <v>1944</v>
      </c>
      <c r="CE6" s="129">
        <v>1943</v>
      </c>
      <c r="CF6" s="129">
        <v>1942</v>
      </c>
      <c r="CG6" s="129">
        <v>1941</v>
      </c>
      <c r="CH6" s="129">
        <v>1940</v>
      </c>
      <c r="CI6" s="129">
        <v>1939</v>
      </c>
      <c r="CJ6" s="129">
        <v>1938</v>
      </c>
      <c r="CK6" s="129">
        <v>1937</v>
      </c>
      <c r="CL6" s="129">
        <v>1936</v>
      </c>
      <c r="CM6" s="129">
        <v>1935</v>
      </c>
      <c r="CN6" s="129">
        <v>1934</v>
      </c>
      <c r="CO6" s="129">
        <v>1933</v>
      </c>
      <c r="CP6" s="129">
        <v>1932</v>
      </c>
      <c r="CQ6" s="129">
        <v>1931</v>
      </c>
      <c r="CR6" s="129">
        <v>1930</v>
      </c>
      <c r="CS6" s="129">
        <v>1929</v>
      </c>
      <c r="CT6" s="129">
        <v>1928</v>
      </c>
      <c r="CU6" s="129">
        <v>1927</v>
      </c>
      <c r="CV6" s="129">
        <v>1926</v>
      </c>
      <c r="CW6" s="129">
        <v>1925</v>
      </c>
      <c r="CX6" s="129">
        <v>1924</v>
      </c>
      <c r="CY6" s="129">
        <v>1923</v>
      </c>
      <c r="CZ6" s="129">
        <v>1922</v>
      </c>
      <c r="DA6" s="129">
        <v>1921</v>
      </c>
      <c r="DB6" s="129">
        <v>1920</v>
      </c>
    </row>
    <row r="7" spans="2:106">
      <c r="B7" s="95">
        <v>2017</v>
      </c>
      <c r="C7" s="99">
        <v>1.0289999999999999</v>
      </c>
      <c r="D7" s="85">
        <v>1967</v>
      </c>
      <c r="E7" s="101">
        <v>8.1489999999999991</v>
      </c>
      <c r="F7" s="130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  <c r="DB7" s="129"/>
    </row>
    <row r="8" spans="2:106">
      <c r="B8" s="95">
        <v>2016</v>
      </c>
      <c r="C8" s="99">
        <v>1.0389999999999999</v>
      </c>
      <c r="D8" s="85">
        <v>1966</v>
      </c>
      <c r="E8" s="101">
        <v>8.3699999999999992</v>
      </c>
    </row>
    <row r="9" spans="2:106">
      <c r="B9" s="95">
        <v>2015</v>
      </c>
      <c r="C9" s="99">
        <v>1.0409999999999999</v>
      </c>
      <c r="D9" s="85">
        <v>1965</v>
      </c>
      <c r="E9" s="101">
        <v>8.5960000000000001</v>
      </c>
    </row>
    <row r="10" spans="2:106">
      <c r="B10" s="95">
        <v>2014</v>
      </c>
      <c r="C10" s="99">
        <v>1.042</v>
      </c>
      <c r="D10" s="85">
        <v>1964</v>
      </c>
      <c r="E10" s="101">
        <v>8.8109999999999999</v>
      </c>
    </row>
    <row r="11" spans="2:106">
      <c r="B11" s="95">
        <v>2013</v>
      </c>
      <c r="C11" s="99">
        <v>1.046</v>
      </c>
      <c r="D11" s="85">
        <v>1963</v>
      </c>
      <c r="E11" s="101">
        <v>9.1129999999999995</v>
      </c>
    </row>
    <row r="12" spans="2:106">
      <c r="B12" s="95">
        <v>2012</v>
      </c>
      <c r="C12" s="99">
        <v>1.054</v>
      </c>
      <c r="D12" s="85">
        <v>1962</v>
      </c>
      <c r="E12" s="101">
        <v>9.5519999999999996</v>
      </c>
    </row>
    <row r="13" spans="2:106">
      <c r="B13" s="95">
        <v>2011</v>
      </c>
      <c r="C13" s="99">
        <v>1.073</v>
      </c>
      <c r="D13" s="85">
        <v>1961</v>
      </c>
      <c r="E13" s="101">
        <v>10.012</v>
      </c>
    </row>
    <row r="14" spans="2:106">
      <c r="B14" s="95">
        <v>2010</v>
      </c>
      <c r="C14" s="99">
        <v>1.095</v>
      </c>
      <c r="D14" s="85">
        <v>1960</v>
      </c>
      <c r="E14" s="101">
        <v>10.340999999999999</v>
      </c>
    </row>
    <row r="15" spans="2:106">
      <c r="B15" s="95">
        <v>2009</v>
      </c>
      <c r="C15" s="99">
        <v>1.111</v>
      </c>
      <c r="D15" s="85">
        <v>1959</v>
      </c>
      <c r="E15" s="101">
        <v>10.718</v>
      </c>
    </row>
    <row r="16" spans="2:106">
      <c r="B16" s="95">
        <v>2008</v>
      </c>
      <c r="C16" s="99">
        <v>1.1120000000000001</v>
      </c>
      <c r="D16" s="85">
        <v>1958</v>
      </c>
      <c r="E16" s="101">
        <v>11.375999999999999</v>
      </c>
    </row>
    <row r="17" spans="2:5">
      <c r="B17" s="95">
        <v>2007</v>
      </c>
      <c r="C17" s="99">
        <v>1.143</v>
      </c>
      <c r="D17" s="85">
        <v>1957</v>
      </c>
      <c r="E17" s="101">
        <v>13.093999999999999</v>
      </c>
    </row>
    <row r="18" spans="2:5">
      <c r="B18" s="95">
        <v>2006</v>
      </c>
      <c r="C18" s="99">
        <v>1.1599999999999999</v>
      </c>
      <c r="D18" s="85">
        <v>1956</v>
      </c>
      <c r="E18" s="101">
        <v>13.446</v>
      </c>
    </row>
    <row r="19" spans="2:5">
      <c r="B19" s="95">
        <v>2005</v>
      </c>
      <c r="C19" s="99">
        <v>1.179</v>
      </c>
      <c r="D19" s="85">
        <v>1955</v>
      </c>
      <c r="E19" s="101">
        <v>13.706</v>
      </c>
    </row>
    <row r="20" spans="2:5">
      <c r="B20" s="95">
        <v>2004</v>
      </c>
      <c r="C20" s="99">
        <v>1.2010000000000001</v>
      </c>
      <c r="D20" s="85">
        <v>1954</v>
      </c>
      <c r="E20" s="101">
        <v>13.859</v>
      </c>
    </row>
    <row r="21" spans="2:5">
      <c r="B21" s="95">
        <v>2003</v>
      </c>
      <c r="C21" s="99">
        <v>1.22</v>
      </c>
      <c r="D21" s="85">
        <v>1953</v>
      </c>
      <c r="E21" s="101">
        <v>13.82</v>
      </c>
    </row>
    <row r="22" spans="2:5">
      <c r="B22" s="95">
        <v>2002</v>
      </c>
      <c r="C22" s="99">
        <v>1.2430000000000001</v>
      </c>
      <c r="D22" s="85">
        <v>1952</v>
      </c>
      <c r="E22" s="101">
        <v>13.659000000000001</v>
      </c>
    </row>
    <row r="23" spans="2:5">
      <c r="B23" s="95">
        <v>2001</v>
      </c>
      <c r="C23" s="99">
        <v>1.2649999999999999</v>
      </c>
      <c r="D23" s="85">
        <v>1951</v>
      </c>
      <c r="E23" s="101">
        <v>15.265000000000001</v>
      </c>
    </row>
    <row r="24" spans="2:5">
      <c r="B24" s="95">
        <v>2000</v>
      </c>
      <c r="C24" s="99">
        <v>1.2849999999999999</v>
      </c>
      <c r="D24" s="85">
        <v>1950</v>
      </c>
      <c r="E24" s="101">
        <v>17.86</v>
      </c>
    </row>
    <row r="25" spans="2:5">
      <c r="B25" s="95">
        <v>1999</v>
      </c>
      <c r="C25" s="99">
        <v>1.3049999999999999</v>
      </c>
      <c r="D25" s="85">
        <v>1949</v>
      </c>
      <c r="E25" s="101">
        <v>19.86</v>
      </c>
    </row>
    <row r="26" spans="2:5">
      <c r="B26" s="95">
        <v>1998</v>
      </c>
      <c r="C26" s="99">
        <v>1.3120000000000001</v>
      </c>
      <c r="D26" s="85">
        <v>1948</v>
      </c>
      <c r="E26" s="101">
        <v>20.379000000000001</v>
      </c>
    </row>
    <row r="27" spans="2:5">
      <c r="B27" s="95">
        <v>1997</v>
      </c>
      <c r="C27" s="99">
        <v>1.32</v>
      </c>
      <c r="D27" s="85">
        <v>1947</v>
      </c>
      <c r="E27" s="101">
        <v>32.304000000000002</v>
      </c>
    </row>
    <row r="28" spans="2:5">
      <c r="B28" s="95">
        <v>1996</v>
      </c>
      <c r="C28" s="99">
        <v>1.3340000000000001</v>
      </c>
      <c r="D28" s="85">
        <v>1946</v>
      </c>
      <c r="E28" s="101">
        <v>51.601999999999997</v>
      </c>
    </row>
    <row r="29" spans="2:5">
      <c r="B29" s="95">
        <v>1995</v>
      </c>
      <c r="C29" s="99">
        <v>1.359</v>
      </c>
      <c r="D29" s="85">
        <v>1945</v>
      </c>
      <c r="E29" s="101">
        <v>84.573999999999998</v>
      </c>
    </row>
    <row r="30" spans="2:5">
      <c r="B30" s="95">
        <v>1994</v>
      </c>
      <c r="C30" s="99">
        <v>1.3819999999999999</v>
      </c>
      <c r="D30" s="85">
        <v>1944</v>
      </c>
      <c r="E30" s="101">
        <v>116.714</v>
      </c>
    </row>
    <row r="31" spans="2:5">
      <c r="B31" s="95">
        <v>1993</v>
      </c>
      <c r="C31" s="99">
        <v>1.401</v>
      </c>
      <c r="D31" s="85">
        <v>1943</v>
      </c>
      <c r="E31" s="101">
        <v>148.88800000000001</v>
      </c>
    </row>
    <row r="32" spans="2:5">
      <c r="B32" s="95">
        <v>1992</v>
      </c>
      <c r="C32" s="99">
        <v>1.4259999999999999</v>
      </c>
      <c r="D32" s="85">
        <v>1942</v>
      </c>
      <c r="E32" s="101">
        <v>189.77799999999999</v>
      </c>
    </row>
    <row r="33" spans="2:5">
      <c r="B33" s="95">
        <v>1991</v>
      </c>
      <c r="C33" s="99">
        <v>1.4590000000000001</v>
      </c>
      <c r="D33" s="85">
        <v>1941</v>
      </c>
      <c r="E33" s="101">
        <v>221.22900000000001</v>
      </c>
    </row>
    <row r="34" spans="2:5">
      <c r="B34" s="95">
        <v>1990</v>
      </c>
      <c r="C34" s="99">
        <v>1.506</v>
      </c>
      <c r="D34" s="85">
        <v>1940</v>
      </c>
      <c r="E34" s="101">
        <v>258.46600000000001</v>
      </c>
    </row>
    <row r="35" spans="2:5">
      <c r="B35" s="95">
        <v>1989</v>
      </c>
      <c r="C35" s="99">
        <v>1.5580000000000001</v>
      </c>
      <c r="D35" s="85">
        <v>1939</v>
      </c>
      <c r="E35" s="101">
        <v>307.92399999999998</v>
      </c>
    </row>
    <row r="36" spans="2:5">
      <c r="B36" s="95">
        <v>1988</v>
      </c>
      <c r="C36" s="99">
        <v>1.611</v>
      </c>
      <c r="D36" s="85">
        <v>1938</v>
      </c>
      <c r="E36" s="101">
        <v>332.78399999999999</v>
      </c>
    </row>
    <row r="37" spans="2:5">
      <c r="B37" s="95">
        <v>1987</v>
      </c>
      <c r="C37" s="99">
        <v>1.653</v>
      </c>
      <c r="D37" s="85">
        <v>1937</v>
      </c>
      <c r="E37" s="101">
        <v>384.52699999999999</v>
      </c>
    </row>
    <row r="38" spans="2:5">
      <c r="B38" s="95">
        <v>1986</v>
      </c>
      <c r="C38" s="99">
        <v>1.7070000000000001</v>
      </c>
      <c r="D38" s="85">
        <v>1936</v>
      </c>
      <c r="E38" s="101">
        <v>489.47</v>
      </c>
    </row>
    <row r="39" spans="2:5">
      <c r="B39" s="95">
        <v>1985</v>
      </c>
      <c r="C39" s="99">
        <v>1.7490000000000001</v>
      </c>
      <c r="D39" s="85">
        <v>1935</v>
      </c>
      <c r="E39" s="101">
        <v>533.96699999999998</v>
      </c>
    </row>
    <row r="40" spans="2:5">
      <c r="B40" s="95">
        <v>1984</v>
      </c>
      <c r="C40" s="99">
        <v>1.8540000000000001</v>
      </c>
      <c r="D40" s="85">
        <v>1934</v>
      </c>
      <c r="E40" s="101">
        <v>478.50400000000002</v>
      </c>
    </row>
    <row r="41" spans="2:5">
      <c r="B41" s="95">
        <v>1983</v>
      </c>
      <c r="C41" s="99">
        <v>1.996</v>
      </c>
      <c r="D41" s="85">
        <v>1933</v>
      </c>
      <c r="E41" s="101">
        <v>451.81900000000002</v>
      </c>
    </row>
    <row r="42" spans="2:5">
      <c r="B42" s="95">
        <v>1982</v>
      </c>
      <c r="C42" s="99">
        <v>2.1850000000000001</v>
      </c>
      <c r="D42" s="85">
        <v>1932</v>
      </c>
      <c r="E42" s="101">
        <v>430.303</v>
      </c>
    </row>
    <row r="43" spans="2:5">
      <c r="B43" s="95">
        <v>1981</v>
      </c>
      <c r="C43" s="99">
        <v>2.444</v>
      </c>
      <c r="D43" s="85">
        <v>1931</v>
      </c>
      <c r="E43" s="101">
        <v>385.78899999999999</v>
      </c>
    </row>
    <row r="44" spans="2:5">
      <c r="B44" s="95">
        <v>1980</v>
      </c>
      <c r="C44" s="99">
        <v>2.77</v>
      </c>
      <c r="D44" s="85">
        <v>1930</v>
      </c>
      <c r="E44" s="101">
        <v>380.17099999999999</v>
      </c>
    </row>
    <row r="45" spans="2:5">
      <c r="B45" s="95">
        <v>1979</v>
      </c>
      <c r="C45" s="99">
        <v>3.1459999999999999</v>
      </c>
      <c r="D45" s="85">
        <v>1929</v>
      </c>
      <c r="E45" s="101">
        <v>378.334</v>
      </c>
    </row>
    <row r="46" spans="2:5">
      <c r="B46" s="95">
        <v>1978</v>
      </c>
      <c r="C46" s="99">
        <v>3.484</v>
      </c>
      <c r="D46" s="85">
        <v>1928</v>
      </c>
      <c r="E46" s="101">
        <v>402.30399999999997</v>
      </c>
    </row>
    <row r="47" spans="2:5">
      <c r="B47" s="95">
        <v>1977</v>
      </c>
      <c r="C47" s="99">
        <v>3.8</v>
      </c>
      <c r="D47" s="85">
        <v>1927</v>
      </c>
      <c r="E47" s="101">
        <v>396.19799999999998</v>
      </c>
    </row>
    <row r="48" spans="2:5">
      <c r="B48" s="95">
        <v>1976</v>
      </c>
      <c r="C48" s="99">
        <v>4.1559999999999997</v>
      </c>
      <c r="D48" s="85">
        <v>1926</v>
      </c>
      <c r="E48" s="101">
        <v>419.54599999999999</v>
      </c>
    </row>
    <row r="49" spans="2:5">
      <c r="B49" s="95">
        <v>1975</v>
      </c>
      <c r="C49" s="99">
        <v>4.556</v>
      </c>
      <c r="D49" s="85">
        <v>1925</v>
      </c>
      <c r="E49" s="101">
        <v>554.11699999999996</v>
      </c>
    </row>
    <row r="50" spans="2:5">
      <c r="B50" s="95">
        <v>1974</v>
      </c>
      <c r="C50" s="99">
        <v>5.0919999999999996</v>
      </c>
      <c r="D50" s="85">
        <v>1924</v>
      </c>
      <c r="E50" s="101">
        <v>594.79899999999998</v>
      </c>
    </row>
    <row r="51" spans="2:5">
      <c r="B51" s="95">
        <v>1973</v>
      </c>
      <c r="C51" s="99">
        <v>5.7910000000000004</v>
      </c>
      <c r="D51" s="85">
        <v>1923</v>
      </c>
      <c r="E51" s="101">
        <v>682.98199999999997</v>
      </c>
    </row>
    <row r="52" spans="2:5">
      <c r="B52" s="95">
        <v>1972</v>
      </c>
      <c r="C52" s="99">
        <v>6.2149999999999999</v>
      </c>
      <c r="D52" s="85">
        <v>1922</v>
      </c>
      <c r="E52" s="101">
        <v>745.85900000000004</v>
      </c>
    </row>
    <row r="53" spans="2:5">
      <c r="B53" s="95">
        <v>1971</v>
      </c>
      <c r="C53" s="99">
        <v>6.5979999999999999</v>
      </c>
      <c r="D53" s="85">
        <v>1921</v>
      </c>
      <c r="E53" s="101">
        <v>705.54300000000001</v>
      </c>
    </row>
    <row r="54" spans="2:5" ht="15" thickBot="1">
      <c r="B54" s="96">
        <v>1970</v>
      </c>
      <c r="C54" s="100">
        <v>6.9610000000000003</v>
      </c>
      <c r="D54" s="97">
        <v>1920</v>
      </c>
      <c r="E54" s="102">
        <v>633.27700000000004</v>
      </c>
    </row>
  </sheetData>
  <mergeCells count="102">
    <mergeCell ref="B2:E2"/>
    <mergeCell ref="G6:G7"/>
    <mergeCell ref="H6:H7"/>
    <mergeCell ref="I6:I7"/>
    <mergeCell ref="J6:J7"/>
    <mergeCell ref="K6:K7"/>
    <mergeCell ref="R6:R7"/>
    <mergeCell ref="S6:S7"/>
    <mergeCell ref="T6:T7"/>
    <mergeCell ref="U6:U7"/>
    <mergeCell ref="V6:V7"/>
    <mergeCell ref="W6:W7"/>
    <mergeCell ref="L6:L7"/>
    <mergeCell ref="M6:M7"/>
    <mergeCell ref="N6:N7"/>
    <mergeCell ref="O6:O7"/>
    <mergeCell ref="P6:P7"/>
    <mergeCell ref="Q6:Q7"/>
    <mergeCell ref="AD6:AD7"/>
    <mergeCell ref="AE6:AE7"/>
    <mergeCell ref="AF6:AF7"/>
    <mergeCell ref="AG6:AG7"/>
    <mergeCell ref="AH6:AH7"/>
    <mergeCell ref="AI6:AI7"/>
    <mergeCell ref="X6:X7"/>
    <mergeCell ref="Y6:Y7"/>
    <mergeCell ref="Z6:Z7"/>
    <mergeCell ref="AA6:AA7"/>
    <mergeCell ref="AB6:AB7"/>
    <mergeCell ref="AC6:AC7"/>
    <mergeCell ref="AP6:AP7"/>
    <mergeCell ref="AQ6:AQ7"/>
    <mergeCell ref="AR6:AR7"/>
    <mergeCell ref="AS6:AS7"/>
    <mergeCell ref="AT6:AT7"/>
    <mergeCell ref="AU6:AU7"/>
    <mergeCell ref="AJ6:AJ7"/>
    <mergeCell ref="AK6:AK7"/>
    <mergeCell ref="AL6:AL7"/>
    <mergeCell ref="AM6:AM7"/>
    <mergeCell ref="AN6:AN7"/>
    <mergeCell ref="AO6:AO7"/>
    <mergeCell ref="BB6:BB7"/>
    <mergeCell ref="BC6:BC7"/>
    <mergeCell ref="BD6:BD7"/>
    <mergeCell ref="BE6:BE7"/>
    <mergeCell ref="BF6:BF7"/>
    <mergeCell ref="BG6:BG7"/>
    <mergeCell ref="AV6:AV7"/>
    <mergeCell ref="AW6:AW7"/>
    <mergeCell ref="AX6:AX7"/>
    <mergeCell ref="AY6:AY7"/>
    <mergeCell ref="AZ6:AZ7"/>
    <mergeCell ref="BA6:BA7"/>
    <mergeCell ref="BN6:BN7"/>
    <mergeCell ref="BO6:BO7"/>
    <mergeCell ref="BP6:BP7"/>
    <mergeCell ref="BQ6:BQ7"/>
    <mergeCell ref="BR6:BR7"/>
    <mergeCell ref="BS6:BS7"/>
    <mergeCell ref="BH6:BH7"/>
    <mergeCell ref="BI6:BI7"/>
    <mergeCell ref="BJ6:BJ7"/>
    <mergeCell ref="BK6:BK7"/>
    <mergeCell ref="BL6:BL7"/>
    <mergeCell ref="BM6:BM7"/>
    <mergeCell ref="BZ6:BZ7"/>
    <mergeCell ref="CA6:CA7"/>
    <mergeCell ref="CB6:CB7"/>
    <mergeCell ref="CC6:CC7"/>
    <mergeCell ref="CD6:CD7"/>
    <mergeCell ref="CE6:CE7"/>
    <mergeCell ref="BT6:BT7"/>
    <mergeCell ref="BU6:BU7"/>
    <mergeCell ref="BV6:BV7"/>
    <mergeCell ref="BW6:BW7"/>
    <mergeCell ref="BX6:BX7"/>
    <mergeCell ref="BY6:BY7"/>
    <mergeCell ref="CX6:CX7"/>
    <mergeCell ref="CY6:CY7"/>
    <mergeCell ref="CZ6:CZ7"/>
    <mergeCell ref="DA6:DA7"/>
    <mergeCell ref="DB6:DB7"/>
    <mergeCell ref="F6:F7"/>
    <mergeCell ref="CR6:CR7"/>
    <mergeCell ref="CS6:CS7"/>
    <mergeCell ref="CT6:CT7"/>
    <mergeCell ref="CU6:CU7"/>
    <mergeCell ref="CV6:CV7"/>
    <mergeCell ref="CW6:CW7"/>
    <mergeCell ref="CL6:CL7"/>
    <mergeCell ref="CM6:CM7"/>
    <mergeCell ref="CN6:CN7"/>
    <mergeCell ref="CO6:CO7"/>
    <mergeCell ref="CP6:CP7"/>
    <mergeCell ref="CQ6:CQ7"/>
    <mergeCell ref="CF6:CF7"/>
    <mergeCell ref="CG6:CG7"/>
    <mergeCell ref="CH6:CH7"/>
    <mergeCell ref="CI6:CI7"/>
    <mergeCell ref="CJ6:CJ7"/>
    <mergeCell ref="CK6:CK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A1D0-D4AA-45E9-853B-E8F934DA7977}">
  <dimension ref="B1:E121"/>
  <sheetViews>
    <sheetView topLeftCell="A27" workbookViewId="0">
      <selection activeCell="R33" sqref="R33"/>
    </sheetView>
  </sheetViews>
  <sheetFormatPr defaultColWidth="11.42578125" defaultRowHeight="14.45"/>
  <sheetData>
    <row r="1" spans="2:5" ht="15" thickBot="1"/>
    <row r="2" spans="2:5" ht="38.450000000000003" thickBot="1">
      <c r="B2" s="103" t="s">
        <v>7</v>
      </c>
      <c r="C2" s="104" t="s">
        <v>12</v>
      </c>
      <c r="D2" s="103" t="s">
        <v>13</v>
      </c>
    </row>
    <row r="3" spans="2:5" ht="14.25" customHeight="1" thickBot="1">
      <c r="B3" s="103">
        <v>2019</v>
      </c>
      <c r="C3" s="106">
        <v>8.9999999999999993E-3</v>
      </c>
      <c r="D3" s="108">
        <f t="shared" ref="D3:D66" si="0">D4+(C3*D4)</f>
        <v>2641.7001776768057</v>
      </c>
      <c r="E3" s="107">
        <f t="shared" ref="E3:E66" si="1">D4+(C3*D4)</f>
        <v>2641.7001776768057</v>
      </c>
    </row>
    <row r="4" spans="2:5" ht="14.25" customHeight="1" thickBot="1">
      <c r="B4" s="105">
        <v>2018</v>
      </c>
      <c r="C4" s="106">
        <v>1.2E-2</v>
      </c>
      <c r="D4" s="108">
        <f t="shared" si="0"/>
        <v>2618.1369451702731</v>
      </c>
      <c r="E4" s="107">
        <f t="shared" si="1"/>
        <v>2618.1369451702731</v>
      </c>
    </row>
    <row r="5" spans="2:5" ht="15" thickBot="1">
      <c r="B5" s="105">
        <v>2017</v>
      </c>
      <c r="C5" s="106">
        <v>0.01</v>
      </c>
      <c r="D5" s="108">
        <f t="shared" si="0"/>
        <v>2587.0918430536294</v>
      </c>
      <c r="E5" s="107">
        <f t="shared" si="1"/>
        <v>2587.0918430536294</v>
      </c>
    </row>
    <row r="6" spans="2:5" ht="15" thickBot="1">
      <c r="B6" s="105">
        <v>2016</v>
      </c>
      <c r="C6" s="106">
        <v>2E-3</v>
      </c>
      <c r="D6" s="108">
        <f t="shared" si="0"/>
        <v>2561.4770723303263</v>
      </c>
      <c r="E6" s="107">
        <f t="shared" si="1"/>
        <v>2561.4770723303263</v>
      </c>
    </row>
    <row r="7" spans="2:5" ht="15" thickBot="1">
      <c r="B7" s="105">
        <v>2015</v>
      </c>
      <c r="C7" s="106">
        <v>0</v>
      </c>
      <c r="D7" s="108">
        <f t="shared" si="0"/>
        <v>2556.3643436430402</v>
      </c>
      <c r="E7" s="107">
        <f t="shared" si="1"/>
        <v>2556.3643436430402</v>
      </c>
    </row>
    <row r="8" spans="2:5" ht="15" thickBot="1">
      <c r="B8" s="105">
        <v>2014</v>
      </c>
      <c r="C8" s="106">
        <v>5.0000000000000001E-3</v>
      </c>
      <c r="D8" s="108">
        <f t="shared" si="0"/>
        <v>2556.3643436430402</v>
      </c>
      <c r="E8" s="107">
        <f t="shared" si="1"/>
        <v>2556.3643436430402</v>
      </c>
    </row>
    <row r="9" spans="2:5" ht="15" thickBot="1">
      <c r="B9" s="105">
        <v>2013</v>
      </c>
      <c r="C9" s="106">
        <v>8.9999999999999993E-3</v>
      </c>
      <c r="D9" s="108">
        <f t="shared" si="0"/>
        <v>2543.646113077652</v>
      </c>
      <c r="E9" s="107">
        <f t="shared" si="1"/>
        <v>2543.646113077652</v>
      </c>
    </row>
    <row r="10" spans="2:5" ht="15" thickBot="1">
      <c r="B10" s="105">
        <v>2012</v>
      </c>
      <c r="C10" s="106">
        <v>0.02</v>
      </c>
      <c r="D10" s="108">
        <f t="shared" si="0"/>
        <v>2520.9574956170982</v>
      </c>
      <c r="E10" s="107">
        <f t="shared" si="1"/>
        <v>2520.9574956170982</v>
      </c>
    </row>
    <row r="11" spans="2:5" ht="15" thickBot="1">
      <c r="B11" s="105">
        <v>2011</v>
      </c>
      <c r="C11" s="106">
        <v>2.1000000000000001E-2</v>
      </c>
      <c r="D11" s="108">
        <f t="shared" si="0"/>
        <v>2471.5269564873511</v>
      </c>
      <c r="E11" s="107">
        <f t="shared" si="1"/>
        <v>2471.5269564873511</v>
      </c>
    </row>
    <row r="12" spans="2:5" ht="15" thickBot="1">
      <c r="B12" s="105">
        <v>2010</v>
      </c>
      <c r="C12" s="106">
        <v>1.4999999999999999E-2</v>
      </c>
      <c r="D12" s="108">
        <f t="shared" si="0"/>
        <v>2420.6924157564654</v>
      </c>
      <c r="E12" s="107">
        <f t="shared" si="1"/>
        <v>2420.6924157564654</v>
      </c>
    </row>
    <row r="13" spans="2:5" ht="15" thickBot="1">
      <c r="B13" s="105">
        <v>2009</v>
      </c>
      <c r="C13" s="106">
        <v>1E-3</v>
      </c>
      <c r="D13" s="108">
        <f t="shared" si="0"/>
        <v>2384.9186362132664</v>
      </c>
      <c r="E13" s="107">
        <f t="shared" si="1"/>
        <v>2384.9186362132664</v>
      </c>
    </row>
    <row r="14" spans="2:5" ht="15" thickBot="1">
      <c r="B14" s="105">
        <v>2008</v>
      </c>
      <c r="C14" s="106">
        <v>2.8000000000000001E-2</v>
      </c>
      <c r="D14" s="108">
        <f t="shared" si="0"/>
        <v>2382.5361001131532</v>
      </c>
      <c r="E14" s="107">
        <f t="shared" si="1"/>
        <v>2382.5361001131532</v>
      </c>
    </row>
    <row r="15" spans="2:5" ht="15" thickBot="1">
      <c r="B15" s="105">
        <v>2007</v>
      </c>
      <c r="C15" s="106">
        <v>1.4999999999999999E-2</v>
      </c>
      <c r="D15" s="108">
        <f t="shared" si="0"/>
        <v>2317.6421207326393</v>
      </c>
      <c r="E15" s="107">
        <f t="shared" si="1"/>
        <v>2317.6421207326393</v>
      </c>
    </row>
    <row r="16" spans="2:5" ht="15" thickBot="1">
      <c r="B16" s="105">
        <v>2006</v>
      </c>
      <c r="C16" s="106">
        <v>1.6E-2</v>
      </c>
      <c r="D16" s="108">
        <f t="shared" si="0"/>
        <v>2283.3912519533392</v>
      </c>
      <c r="E16" s="107">
        <f t="shared" si="1"/>
        <v>2283.3912519533392</v>
      </c>
    </row>
    <row r="17" spans="2:5" ht="15" thickBot="1">
      <c r="B17" s="105">
        <v>2005</v>
      </c>
      <c r="C17" s="106">
        <v>1.9E-2</v>
      </c>
      <c r="D17" s="108">
        <f t="shared" si="0"/>
        <v>2247.4323345997432</v>
      </c>
      <c r="E17" s="107">
        <f t="shared" si="1"/>
        <v>2247.4323345997432</v>
      </c>
    </row>
    <row r="18" spans="2:5" ht="15" thickBot="1">
      <c r="B18" s="105">
        <v>2004</v>
      </c>
      <c r="C18" s="106">
        <v>2.1000000000000001E-2</v>
      </c>
      <c r="D18" s="108">
        <f t="shared" si="0"/>
        <v>2205.5273156032808</v>
      </c>
      <c r="E18" s="107">
        <f t="shared" si="1"/>
        <v>2205.5273156032808</v>
      </c>
    </row>
    <row r="19" spans="2:5" ht="15" thickBot="1">
      <c r="B19" s="105">
        <v>2003</v>
      </c>
      <c r="C19" s="106">
        <v>2.1000000000000001E-2</v>
      </c>
      <c r="D19" s="108">
        <f t="shared" si="0"/>
        <v>2160.1638742441537</v>
      </c>
      <c r="E19" s="107">
        <f t="shared" si="1"/>
        <v>2160.1638742441537</v>
      </c>
    </row>
    <row r="20" spans="2:5" ht="15" thickBot="1">
      <c r="B20" s="105">
        <v>2002</v>
      </c>
      <c r="C20" s="106">
        <v>0.02</v>
      </c>
      <c r="D20" s="108">
        <f t="shared" si="0"/>
        <v>2115.7334713458899</v>
      </c>
      <c r="E20" s="107">
        <f t="shared" si="1"/>
        <v>2115.7334713458899</v>
      </c>
    </row>
    <row r="21" spans="2:5" ht="15" thickBot="1">
      <c r="B21" s="105">
        <v>2001</v>
      </c>
      <c r="C21" s="106">
        <v>1.6E-2</v>
      </c>
      <c r="D21" s="108">
        <f t="shared" si="0"/>
        <v>2074.2485013195001</v>
      </c>
      <c r="E21" s="107">
        <f t="shared" si="1"/>
        <v>2074.2485013195001</v>
      </c>
    </row>
    <row r="22" spans="2:5" ht="15" thickBot="1">
      <c r="B22" s="105">
        <v>2000</v>
      </c>
      <c r="C22" s="106">
        <v>1.7000000000000001E-2</v>
      </c>
      <c r="D22" s="108">
        <f t="shared" si="0"/>
        <v>2041.5831705900591</v>
      </c>
      <c r="E22" s="107">
        <f t="shared" si="1"/>
        <v>2041.5831705900591</v>
      </c>
    </row>
    <row r="23" spans="2:5" ht="15" thickBot="1">
      <c r="B23" s="105">
        <v>1999</v>
      </c>
      <c r="C23" s="106">
        <v>5.0000000000000001E-3</v>
      </c>
      <c r="D23" s="108">
        <f t="shared" si="0"/>
        <v>2007.4564115929784</v>
      </c>
      <c r="E23" s="107">
        <f t="shared" si="1"/>
        <v>2007.4564115929784</v>
      </c>
    </row>
    <row r="24" spans="2:5" ht="15" thickBot="1">
      <c r="B24" s="105">
        <v>1998</v>
      </c>
      <c r="C24" s="106">
        <v>6.0000000000000001E-3</v>
      </c>
      <c r="D24" s="108">
        <f t="shared" si="0"/>
        <v>1997.4690662616699</v>
      </c>
      <c r="E24" s="107">
        <f t="shared" si="1"/>
        <v>1997.4690662616699</v>
      </c>
    </row>
    <row r="25" spans="2:5" ht="15" thickBot="1">
      <c r="B25" s="105">
        <v>1997</v>
      </c>
      <c r="C25" s="106">
        <v>1.2E-2</v>
      </c>
      <c r="D25" s="108">
        <f t="shared" si="0"/>
        <v>1985.5557318704473</v>
      </c>
      <c r="E25" s="107">
        <f t="shared" si="1"/>
        <v>1985.5557318704473</v>
      </c>
    </row>
    <row r="26" spans="2:5" ht="15" thickBot="1">
      <c r="B26" s="105">
        <v>1996</v>
      </c>
      <c r="C26" s="106">
        <v>0.02</v>
      </c>
      <c r="D26" s="108">
        <f t="shared" si="0"/>
        <v>1962.011592757359</v>
      </c>
      <c r="E26" s="107">
        <f t="shared" si="1"/>
        <v>1962.011592757359</v>
      </c>
    </row>
    <row r="27" spans="2:5" ht="15" thickBot="1">
      <c r="B27" s="105">
        <v>1995</v>
      </c>
      <c r="C27" s="106">
        <v>1.9E-2</v>
      </c>
      <c r="D27" s="108">
        <f t="shared" si="0"/>
        <v>1923.540777213097</v>
      </c>
      <c r="E27" s="107">
        <f t="shared" si="1"/>
        <v>1923.540777213097</v>
      </c>
    </row>
    <row r="28" spans="2:5" ht="15" thickBot="1">
      <c r="B28" s="105">
        <v>1994</v>
      </c>
      <c r="C28" s="106">
        <v>2.1000000000000001E-2</v>
      </c>
      <c r="D28" s="108">
        <f t="shared" si="0"/>
        <v>1887.6749531041187</v>
      </c>
      <c r="E28" s="107">
        <f t="shared" si="1"/>
        <v>1887.6749531041187</v>
      </c>
    </row>
    <row r="29" spans="2:5" ht="15" thickBot="1">
      <c r="B29" s="105">
        <v>1993</v>
      </c>
      <c r="C29" s="106">
        <v>2.1000000000000001E-2</v>
      </c>
      <c r="D29" s="108">
        <f t="shared" si="0"/>
        <v>1848.8491215515364</v>
      </c>
      <c r="E29" s="107">
        <f t="shared" si="1"/>
        <v>1848.8491215515364</v>
      </c>
    </row>
    <row r="30" spans="2:5" ht="15" thickBot="1">
      <c r="B30" s="105">
        <v>1992</v>
      </c>
      <c r="C30" s="106">
        <v>2.3E-2</v>
      </c>
      <c r="D30" s="108">
        <f t="shared" si="0"/>
        <v>1810.8218624402903</v>
      </c>
      <c r="E30" s="107">
        <f t="shared" si="1"/>
        <v>1810.8218624402903</v>
      </c>
    </row>
    <row r="31" spans="2:5" ht="15" thickBot="1">
      <c r="B31" s="105">
        <v>1991</v>
      </c>
      <c r="C31" s="106">
        <v>3.3000000000000002E-2</v>
      </c>
      <c r="D31" s="108">
        <f t="shared" si="0"/>
        <v>1770.1093474489642</v>
      </c>
      <c r="E31" s="107">
        <f t="shared" si="1"/>
        <v>1770.1093474489642</v>
      </c>
    </row>
    <row r="32" spans="2:5" ht="15" thickBot="1">
      <c r="B32" s="105">
        <v>1990</v>
      </c>
      <c r="C32" s="106">
        <v>3.4000000000000002E-2</v>
      </c>
      <c r="D32" s="108">
        <f t="shared" si="0"/>
        <v>1713.5618077918336</v>
      </c>
      <c r="E32" s="107">
        <f t="shared" si="1"/>
        <v>1713.5618077918336</v>
      </c>
    </row>
    <row r="33" spans="2:5" ht="15" thickBot="1">
      <c r="B33" s="105">
        <v>1989</v>
      </c>
      <c r="C33" s="106">
        <v>3.5999999999999997E-2</v>
      </c>
      <c r="D33" s="108">
        <f t="shared" si="0"/>
        <v>1657.2164485414253</v>
      </c>
      <c r="E33" s="107">
        <f t="shared" si="1"/>
        <v>1657.2164485414253</v>
      </c>
    </row>
    <row r="34" spans="2:5" ht="15" thickBot="1">
      <c r="B34" s="105">
        <v>1988</v>
      </c>
      <c r="C34" s="106">
        <v>2.7E-2</v>
      </c>
      <c r="D34" s="108">
        <f t="shared" si="0"/>
        <v>1599.6297765843874</v>
      </c>
      <c r="E34" s="107">
        <f t="shared" si="1"/>
        <v>1599.6297765843874</v>
      </c>
    </row>
    <row r="35" spans="2:5" ht="15" thickBot="1">
      <c r="B35" s="105">
        <v>1987</v>
      </c>
      <c r="C35" s="106">
        <v>3.1E-2</v>
      </c>
      <c r="D35" s="108">
        <f t="shared" si="0"/>
        <v>1557.5752449701922</v>
      </c>
      <c r="E35" s="107">
        <f t="shared" si="1"/>
        <v>1557.5752449701922</v>
      </c>
    </row>
    <row r="36" spans="2:5" ht="15" thickBot="1">
      <c r="B36" s="105">
        <v>1986</v>
      </c>
      <c r="C36" s="106">
        <v>2.7E-2</v>
      </c>
      <c r="D36" s="108">
        <f t="shared" si="0"/>
        <v>1510.74223566459</v>
      </c>
      <c r="E36" s="107">
        <f t="shared" si="1"/>
        <v>1510.74223566459</v>
      </c>
    </row>
    <row r="37" spans="2:5" ht="15" thickBot="1">
      <c r="B37" s="105">
        <v>1985</v>
      </c>
      <c r="C37" s="106">
        <v>5.8000000000000003E-2</v>
      </c>
      <c r="D37" s="108">
        <f t="shared" si="0"/>
        <v>1471.0245722147906</v>
      </c>
      <c r="E37" s="107">
        <f t="shared" si="1"/>
        <v>1471.0245722147906</v>
      </c>
    </row>
    <row r="38" spans="2:5" ht="15" thickBot="1">
      <c r="B38" s="105">
        <v>1984</v>
      </c>
      <c r="C38" s="106">
        <v>7.3999999999999996E-2</v>
      </c>
      <c r="D38" s="108">
        <f t="shared" si="0"/>
        <v>1390.3823933977228</v>
      </c>
      <c r="E38" s="107">
        <f t="shared" si="1"/>
        <v>1390.3823933977228</v>
      </c>
    </row>
    <row r="39" spans="2:5" ht="15" thickBot="1">
      <c r="B39" s="105">
        <v>1983</v>
      </c>
      <c r="C39" s="106">
        <v>9.6000000000000002E-2</v>
      </c>
      <c r="D39" s="108">
        <f t="shared" si="0"/>
        <v>1294.5832340760919</v>
      </c>
      <c r="E39" s="107">
        <f t="shared" si="1"/>
        <v>1294.5832340760919</v>
      </c>
    </row>
    <row r="40" spans="2:5" ht="15" thickBot="1">
      <c r="B40" s="105">
        <v>1982</v>
      </c>
      <c r="C40" s="106">
        <v>0.11799999999999999</v>
      </c>
      <c r="D40" s="108">
        <f t="shared" si="0"/>
        <v>1181.1890821862153</v>
      </c>
      <c r="E40" s="107">
        <f t="shared" si="1"/>
        <v>1181.1890821862153</v>
      </c>
    </row>
    <row r="41" spans="2:5" ht="15" thickBot="1">
      <c r="B41" s="105">
        <v>1981</v>
      </c>
      <c r="C41" s="106">
        <v>0.13400000000000001</v>
      </c>
      <c r="D41" s="108">
        <f t="shared" si="0"/>
        <v>1056.5197515082427</v>
      </c>
      <c r="E41" s="107">
        <f t="shared" si="1"/>
        <v>1056.5197515082427</v>
      </c>
    </row>
    <row r="42" spans="2:5" ht="15" thickBot="1">
      <c r="B42" s="105">
        <v>1980</v>
      </c>
      <c r="C42" s="106">
        <v>0.13600000000000001</v>
      </c>
      <c r="D42" s="108">
        <f t="shared" si="0"/>
        <v>931.67526588028466</v>
      </c>
      <c r="E42" s="107">
        <f t="shared" si="1"/>
        <v>931.67526588028466</v>
      </c>
    </row>
    <row r="43" spans="2:5" ht="15" thickBot="1">
      <c r="B43" s="105">
        <v>1979</v>
      </c>
      <c r="C43" s="106">
        <v>0.108</v>
      </c>
      <c r="D43" s="108">
        <f t="shared" si="0"/>
        <v>820.13667771151813</v>
      </c>
      <c r="E43" s="107">
        <f t="shared" si="1"/>
        <v>820.13667771151813</v>
      </c>
    </row>
    <row r="44" spans="2:5" ht="15" thickBot="1">
      <c r="B44" s="105">
        <v>1978</v>
      </c>
      <c r="C44" s="106">
        <v>9.0999999999999998E-2</v>
      </c>
      <c r="D44" s="108">
        <f t="shared" si="0"/>
        <v>740.1955575013701</v>
      </c>
      <c r="E44" s="107">
        <f t="shared" si="1"/>
        <v>740.1955575013701</v>
      </c>
    </row>
    <row r="45" spans="2:5" ht="15" thickBot="1">
      <c r="B45" s="105">
        <v>1977</v>
      </c>
      <c r="C45" s="106">
        <v>9.4E-2</v>
      </c>
      <c r="D45" s="108">
        <f t="shared" si="0"/>
        <v>678.45605637155825</v>
      </c>
      <c r="E45" s="107">
        <f t="shared" si="1"/>
        <v>678.45605637155825</v>
      </c>
    </row>
    <row r="46" spans="2:5" ht="15" thickBot="1">
      <c r="B46" s="105">
        <v>1976</v>
      </c>
      <c r="C46" s="106">
        <v>9.6000000000000002E-2</v>
      </c>
      <c r="D46" s="108">
        <f t="shared" si="0"/>
        <v>620.16092904164373</v>
      </c>
      <c r="E46" s="107">
        <f t="shared" si="1"/>
        <v>620.16092904164373</v>
      </c>
    </row>
    <row r="47" spans="2:5" ht="15" thickBot="1">
      <c r="B47" s="105">
        <v>1975</v>
      </c>
      <c r="C47" s="106">
        <v>0.11799999999999999</v>
      </c>
      <c r="D47" s="108">
        <f t="shared" si="0"/>
        <v>565.84026372412745</v>
      </c>
      <c r="E47" s="107">
        <f t="shared" si="1"/>
        <v>565.84026372412745</v>
      </c>
    </row>
    <row r="48" spans="2:5" ht="15" thickBot="1">
      <c r="B48" s="105">
        <v>1974</v>
      </c>
      <c r="C48" s="106">
        <v>0.13700000000000001</v>
      </c>
      <c r="D48" s="108">
        <f t="shared" si="0"/>
        <v>506.11830386773477</v>
      </c>
      <c r="E48" s="107">
        <f t="shared" si="1"/>
        <v>506.11830386773477</v>
      </c>
    </row>
    <row r="49" spans="2:5" ht="15" thickBot="1">
      <c r="B49" s="105">
        <v>1973</v>
      </c>
      <c r="C49" s="106">
        <v>9.1999999999999998E-2</v>
      </c>
      <c r="D49" s="108">
        <f t="shared" si="0"/>
        <v>445.13483189774388</v>
      </c>
      <c r="E49" s="107">
        <f t="shared" si="1"/>
        <v>445.13483189774388</v>
      </c>
    </row>
    <row r="50" spans="2:5" ht="15" thickBot="1">
      <c r="B50" s="105">
        <v>1972</v>
      </c>
      <c r="C50" s="106">
        <v>6.2E-2</v>
      </c>
      <c r="D50" s="108">
        <f t="shared" si="0"/>
        <v>407.6326299429889</v>
      </c>
      <c r="E50" s="107">
        <f t="shared" si="1"/>
        <v>407.6326299429889</v>
      </c>
    </row>
    <row r="51" spans="2:5" ht="15" thickBot="1">
      <c r="B51" s="105">
        <v>1971</v>
      </c>
      <c r="C51" s="106">
        <v>5.7000000000000002E-2</v>
      </c>
      <c r="D51" s="108">
        <f t="shared" si="0"/>
        <v>383.83486811957522</v>
      </c>
      <c r="E51" s="107">
        <f t="shared" si="1"/>
        <v>383.83486811957522</v>
      </c>
    </row>
    <row r="52" spans="2:5" ht="15" thickBot="1">
      <c r="B52" s="105">
        <v>1970</v>
      </c>
      <c r="C52" s="106">
        <v>5.1999999999999998E-2</v>
      </c>
      <c r="D52" s="108">
        <f t="shared" si="0"/>
        <v>363.13610985768707</v>
      </c>
      <c r="E52" s="107">
        <f t="shared" si="1"/>
        <v>363.13610985768707</v>
      </c>
    </row>
    <row r="53" spans="2:5" ht="15" thickBot="1">
      <c r="B53" s="105">
        <v>1969</v>
      </c>
      <c r="C53" s="106">
        <v>6.5000000000000002E-2</v>
      </c>
      <c r="D53" s="108">
        <f t="shared" si="0"/>
        <v>345.18641621453145</v>
      </c>
      <c r="E53" s="107">
        <f t="shared" si="1"/>
        <v>345.18641621453145</v>
      </c>
    </row>
    <row r="54" spans="2:5" ht="15" thickBot="1">
      <c r="B54" s="105">
        <v>1968</v>
      </c>
      <c r="C54" s="106">
        <v>4.4999999999999998E-2</v>
      </c>
      <c r="D54" s="108">
        <f t="shared" si="0"/>
        <v>324.11870067092156</v>
      </c>
      <c r="E54" s="107">
        <f t="shared" si="1"/>
        <v>324.11870067092156</v>
      </c>
    </row>
    <row r="55" spans="2:5" ht="15" thickBot="1">
      <c r="B55" s="105">
        <v>1967</v>
      </c>
      <c r="C55" s="106">
        <v>2.7E-2</v>
      </c>
      <c r="D55" s="108">
        <f t="shared" si="0"/>
        <v>310.16143604872877</v>
      </c>
      <c r="E55" s="107">
        <f t="shared" si="1"/>
        <v>310.16143604872877</v>
      </c>
    </row>
    <row r="56" spans="2:5" ht="15" thickBot="1">
      <c r="B56" s="105">
        <v>1966</v>
      </c>
      <c r="C56" s="106">
        <v>2.7E-2</v>
      </c>
      <c r="D56" s="108">
        <f t="shared" si="0"/>
        <v>302.0072405537768</v>
      </c>
      <c r="E56" s="107">
        <f t="shared" si="1"/>
        <v>302.0072405537768</v>
      </c>
    </row>
    <row r="57" spans="2:5" ht="15" thickBot="1">
      <c r="B57" s="105">
        <v>1965</v>
      </c>
      <c r="C57" s="106">
        <v>2.5000000000000001E-2</v>
      </c>
      <c r="D57" s="108">
        <f t="shared" si="0"/>
        <v>294.06742020815659</v>
      </c>
      <c r="E57" s="107">
        <f t="shared" si="1"/>
        <v>294.06742020815659</v>
      </c>
    </row>
    <row r="58" spans="2:5" ht="15" thickBot="1">
      <c r="B58" s="105">
        <v>1964</v>
      </c>
      <c r="C58" s="106">
        <v>3.4000000000000002E-2</v>
      </c>
      <c r="D58" s="108">
        <f t="shared" si="0"/>
        <v>286.89504410551865</v>
      </c>
      <c r="E58" s="107">
        <f t="shared" si="1"/>
        <v>286.89504410551865</v>
      </c>
    </row>
    <row r="59" spans="2:5" ht="15" thickBot="1">
      <c r="B59" s="105">
        <v>1963</v>
      </c>
      <c r="C59" s="106">
        <v>4.8000000000000001E-2</v>
      </c>
      <c r="D59" s="108">
        <f t="shared" si="0"/>
        <v>277.46135793570471</v>
      </c>
      <c r="E59" s="107">
        <f t="shared" si="1"/>
        <v>277.46135793570471</v>
      </c>
    </row>
    <row r="60" spans="2:5" ht="15" thickBot="1">
      <c r="B60" s="105">
        <v>1962</v>
      </c>
      <c r="C60" s="106">
        <v>4.8000000000000001E-2</v>
      </c>
      <c r="D60" s="108">
        <f t="shared" si="0"/>
        <v>264.75320413712279</v>
      </c>
      <c r="E60" s="107">
        <f t="shared" si="1"/>
        <v>264.75320413712279</v>
      </c>
    </row>
    <row r="61" spans="2:5" ht="15" thickBot="1">
      <c r="B61" s="105">
        <v>1961</v>
      </c>
      <c r="C61" s="106">
        <v>3.3000000000000002E-2</v>
      </c>
      <c r="D61" s="108">
        <f t="shared" si="0"/>
        <v>252.62710318427747</v>
      </c>
      <c r="E61" s="107">
        <f t="shared" si="1"/>
        <v>252.62710318427747</v>
      </c>
    </row>
    <row r="62" spans="2:5" ht="15" thickBot="1">
      <c r="B62" s="105">
        <v>1960</v>
      </c>
      <c r="C62" s="106">
        <v>3.5999999999999997E-2</v>
      </c>
      <c r="D62" s="108">
        <f t="shared" si="0"/>
        <v>244.55673105931993</v>
      </c>
      <c r="E62" s="107">
        <f t="shared" si="1"/>
        <v>244.55673105931993</v>
      </c>
    </row>
    <row r="63" spans="2:5" ht="15" thickBot="1">
      <c r="B63" s="105">
        <v>1959</v>
      </c>
      <c r="C63" s="106">
        <v>6.2E-2</v>
      </c>
      <c r="D63" s="108">
        <f t="shared" si="0"/>
        <v>236.05862071362927</v>
      </c>
      <c r="E63" s="107">
        <f t="shared" si="1"/>
        <v>236.05862071362927</v>
      </c>
    </row>
    <row r="64" spans="2:5" ht="15" thickBot="1">
      <c r="B64" s="105">
        <v>1958</v>
      </c>
      <c r="C64" s="106">
        <v>0.151</v>
      </c>
      <c r="D64" s="108">
        <f t="shared" si="0"/>
        <v>222.2774206343025</v>
      </c>
      <c r="E64" s="107">
        <f t="shared" si="1"/>
        <v>222.2774206343025</v>
      </c>
    </row>
    <row r="65" spans="2:5" ht="15" thickBot="1">
      <c r="B65" s="105">
        <v>1957</v>
      </c>
      <c r="C65" s="106">
        <v>0.03</v>
      </c>
      <c r="D65" s="108">
        <f t="shared" si="0"/>
        <v>193.11678595508471</v>
      </c>
      <c r="E65" s="107">
        <f t="shared" si="1"/>
        <v>193.11678595508471</v>
      </c>
    </row>
    <row r="66" spans="2:5" ht="15" thickBot="1">
      <c r="B66" s="105">
        <v>1956</v>
      </c>
      <c r="C66" s="106">
        <v>4.2000000000000003E-2</v>
      </c>
      <c r="D66" s="108">
        <f t="shared" si="0"/>
        <v>187.49202519911137</v>
      </c>
      <c r="E66" s="107">
        <f t="shared" si="1"/>
        <v>187.49202519911137</v>
      </c>
    </row>
    <row r="67" spans="2:5" ht="15" thickBot="1">
      <c r="B67" s="105">
        <v>1955</v>
      </c>
      <c r="C67" s="106">
        <v>0.01</v>
      </c>
      <c r="D67" s="108">
        <f t="shared" ref="D67:D119" si="2">D68+(C67*D68)</f>
        <v>179.9347650663257</v>
      </c>
      <c r="E67" s="107">
        <f t="shared" ref="E67:E119" si="3">D68+(C67*D68)</f>
        <v>179.9347650663257</v>
      </c>
    </row>
    <row r="68" spans="2:5" ht="15" thickBot="1">
      <c r="B68" s="105">
        <v>1954</v>
      </c>
      <c r="C68" s="106">
        <v>4.0000000000000001E-3</v>
      </c>
      <c r="D68" s="108">
        <f t="shared" si="2"/>
        <v>178.15323273893634</v>
      </c>
      <c r="E68" s="107">
        <f t="shared" si="3"/>
        <v>178.15323273893634</v>
      </c>
    </row>
    <row r="69" spans="2:5" ht="15" thickBot="1">
      <c r="B69" s="105">
        <v>1953</v>
      </c>
      <c r="C69" s="106">
        <v>-1.7000000000000001E-2</v>
      </c>
      <c r="D69" s="108">
        <f t="shared" si="2"/>
        <v>177.44345890332303</v>
      </c>
      <c r="E69" s="107">
        <f t="shared" si="3"/>
        <v>177.44345890332303</v>
      </c>
    </row>
    <row r="70" spans="2:5" ht="15" thickBot="1">
      <c r="B70" s="105">
        <v>1952</v>
      </c>
      <c r="C70" s="106">
        <v>0.11899999999999999</v>
      </c>
      <c r="D70" s="108">
        <f t="shared" si="2"/>
        <v>180.51216572057277</v>
      </c>
      <c r="E70" s="107">
        <f t="shared" si="3"/>
        <v>180.51216572057277</v>
      </c>
    </row>
    <row r="71" spans="2:5" ht="15" thickBot="1">
      <c r="B71" s="105">
        <v>1951</v>
      </c>
      <c r="C71" s="106">
        <v>0.16200000000000001</v>
      </c>
      <c r="D71" s="108">
        <f t="shared" si="2"/>
        <v>161.31560832937691</v>
      </c>
      <c r="E71" s="107">
        <f t="shared" si="3"/>
        <v>161.31560832937691</v>
      </c>
    </row>
    <row r="72" spans="2:5" ht="15" thickBot="1">
      <c r="B72" s="105">
        <v>1950</v>
      </c>
      <c r="C72" s="106">
        <v>0.1</v>
      </c>
      <c r="D72" s="108">
        <f t="shared" si="2"/>
        <v>138.82582472407651</v>
      </c>
      <c r="E72" s="107">
        <f t="shared" si="3"/>
        <v>138.82582472407651</v>
      </c>
    </row>
    <row r="73" spans="2:5" ht="15" thickBot="1">
      <c r="B73" s="105">
        <v>1949</v>
      </c>
      <c r="C73" s="106">
        <v>0.13200000000000001</v>
      </c>
      <c r="D73" s="108">
        <f t="shared" si="2"/>
        <v>126.20529520370592</v>
      </c>
      <c r="E73" s="107">
        <f t="shared" si="3"/>
        <v>126.20529520370592</v>
      </c>
    </row>
    <row r="74" spans="2:5" ht="15" thickBot="1">
      <c r="B74" s="105">
        <v>1948</v>
      </c>
      <c r="C74" s="106">
        <v>0.58699999999999997</v>
      </c>
      <c r="D74" s="108">
        <f t="shared" si="2"/>
        <v>111.488776681719</v>
      </c>
      <c r="E74" s="107">
        <f t="shared" si="3"/>
        <v>111.488776681719</v>
      </c>
    </row>
    <row r="75" spans="2:5" ht="15" thickBot="1">
      <c r="B75" s="105">
        <v>1947</v>
      </c>
      <c r="C75" s="106">
        <v>0.49199999999999999</v>
      </c>
      <c r="D75" s="108">
        <f t="shared" si="2"/>
        <v>70.251277052122873</v>
      </c>
      <c r="E75" s="107">
        <f t="shared" si="3"/>
        <v>70.251277052122873</v>
      </c>
    </row>
    <row r="76" spans="2:5" ht="15" thickBot="1">
      <c r="B76" s="105">
        <v>1946</v>
      </c>
      <c r="C76" s="106">
        <v>0.52600000000000002</v>
      </c>
      <c r="D76" s="108">
        <f t="shared" si="2"/>
        <v>47.085306335203001</v>
      </c>
      <c r="E76" s="107">
        <f t="shared" si="3"/>
        <v>47.085306335203001</v>
      </c>
    </row>
    <row r="77" spans="2:5" ht="15" thickBot="1">
      <c r="B77" s="105">
        <v>1945</v>
      </c>
      <c r="C77" s="106">
        <v>0.48499999999999999</v>
      </c>
      <c r="D77" s="108">
        <f t="shared" si="2"/>
        <v>30.855377677066187</v>
      </c>
      <c r="E77" s="107">
        <f t="shared" si="3"/>
        <v>30.855377677066187</v>
      </c>
    </row>
    <row r="78" spans="2:5" ht="15" thickBot="1">
      <c r="B78" s="105">
        <v>1944</v>
      </c>
      <c r="C78" s="106">
        <v>0.222</v>
      </c>
      <c r="D78" s="108">
        <f t="shared" si="2"/>
        <v>20.778032105768474</v>
      </c>
      <c r="E78" s="107">
        <f t="shared" si="3"/>
        <v>20.778032105768474</v>
      </c>
    </row>
    <row r="79" spans="2:5" ht="15" thickBot="1">
      <c r="B79" s="105">
        <v>1943</v>
      </c>
      <c r="C79" s="106">
        <v>0.24099999999999999</v>
      </c>
      <c r="D79" s="108">
        <f t="shared" si="2"/>
        <v>17.003299595555216</v>
      </c>
      <c r="E79" s="107">
        <f t="shared" si="3"/>
        <v>17.003299595555216</v>
      </c>
    </row>
    <row r="80" spans="2:5" ht="15" thickBot="1">
      <c r="B80" s="105">
        <v>1942</v>
      </c>
      <c r="C80" s="106">
        <v>0.20300000000000001</v>
      </c>
      <c r="D80" s="108">
        <f t="shared" si="2"/>
        <v>13.701288956934098</v>
      </c>
      <c r="E80" s="107">
        <f t="shared" si="3"/>
        <v>13.701288956934098</v>
      </c>
    </row>
    <row r="81" spans="2:5" ht="15" thickBot="1">
      <c r="B81" s="105">
        <v>1941</v>
      </c>
      <c r="C81" s="106">
        <v>0.17499999999999999</v>
      </c>
      <c r="D81" s="108">
        <f t="shared" si="2"/>
        <v>11.389267628374146</v>
      </c>
      <c r="E81" s="107">
        <f t="shared" si="3"/>
        <v>11.389267628374146</v>
      </c>
    </row>
    <row r="82" spans="2:5" ht="15" thickBot="1">
      <c r="B82" s="105">
        <v>1940</v>
      </c>
      <c r="C82" s="106">
        <v>0.17799999999999999</v>
      </c>
      <c r="D82" s="108">
        <f t="shared" si="2"/>
        <v>9.6929937262758692</v>
      </c>
      <c r="E82" s="107">
        <f t="shared" si="3"/>
        <v>9.6929937262758692</v>
      </c>
    </row>
    <row r="83" spans="2:5" ht="15" thickBot="1">
      <c r="B83" s="105">
        <v>1939</v>
      </c>
      <c r="C83" s="106">
        <v>7.0000000000000007E-2</v>
      </c>
      <c r="D83" s="108">
        <f t="shared" si="2"/>
        <v>8.2283478151747609</v>
      </c>
      <c r="E83" s="107">
        <f t="shared" si="3"/>
        <v>8.2283478151747609</v>
      </c>
    </row>
    <row r="84" spans="2:5" ht="15" thickBot="1">
      <c r="B84" s="105">
        <v>1938</v>
      </c>
      <c r="C84" s="106">
        <v>0.13700000000000001</v>
      </c>
      <c r="D84" s="108">
        <f t="shared" si="2"/>
        <v>7.6900446870792161</v>
      </c>
      <c r="E84" s="107">
        <f t="shared" si="3"/>
        <v>7.6900446870792161</v>
      </c>
    </row>
    <row r="85" spans="2:5" ht="15" thickBot="1">
      <c r="B85" s="105">
        <v>1937</v>
      </c>
      <c r="C85" s="106">
        <v>0.25700000000000001</v>
      </c>
      <c r="D85" s="108">
        <f t="shared" si="2"/>
        <v>6.763451791626399</v>
      </c>
      <c r="E85" s="107">
        <f t="shared" si="3"/>
        <v>6.763451791626399</v>
      </c>
    </row>
    <row r="86" spans="2:5" ht="15" thickBot="1">
      <c r="B86" s="105">
        <v>1936</v>
      </c>
      <c r="C86" s="106">
        <v>7.6999999999999999E-2</v>
      </c>
      <c r="D86" s="108">
        <f t="shared" si="2"/>
        <v>5.3806299058284797</v>
      </c>
      <c r="E86" s="107">
        <f t="shared" si="3"/>
        <v>5.3806299058284797</v>
      </c>
    </row>
    <row r="87" spans="2:5" ht="15" thickBot="1">
      <c r="B87" s="105">
        <v>1935</v>
      </c>
      <c r="C87" s="106">
        <v>-8.5000000000000006E-2</v>
      </c>
      <c r="D87" s="108">
        <f t="shared" si="2"/>
        <v>4.9959423452446421</v>
      </c>
      <c r="E87" s="107">
        <f t="shared" si="3"/>
        <v>4.9959423452446421</v>
      </c>
    </row>
    <row r="88" spans="2:5" ht="15" thickBot="1">
      <c r="B88" s="105">
        <v>1934</v>
      </c>
      <c r="C88" s="106">
        <v>-4.1000000000000002E-2</v>
      </c>
      <c r="D88" s="108">
        <f t="shared" si="2"/>
        <v>5.4600462789558932</v>
      </c>
      <c r="E88" s="107">
        <f t="shared" si="3"/>
        <v>5.4600462789558932</v>
      </c>
    </row>
    <row r="89" spans="2:5" ht="15" thickBot="1">
      <c r="B89" s="105">
        <v>1933</v>
      </c>
      <c r="C89" s="106">
        <v>-3.9E-2</v>
      </c>
      <c r="D89" s="108">
        <f t="shared" si="2"/>
        <v>5.6934789144482725</v>
      </c>
      <c r="E89" s="107">
        <f t="shared" si="3"/>
        <v>5.6934789144482725</v>
      </c>
    </row>
    <row r="90" spans="2:5" ht="15" thickBot="1">
      <c r="B90" s="105">
        <v>1932</v>
      </c>
      <c r="C90" s="106">
        <v>-8.3000000000000004E-2</v>
      </c>
      <c r="D90" s="108">
        <f t="shared" si="2"/>
        <v>5.9245358110804087</v>
      </c>
      <c r="E90" s="107">
        <f t="shared" si="3"/>
        <v>5.9245358110804087</v>
      </c>
    </row>
    <row r="91" spans="2:5" ht="15" thickBot="1">
      <c r="B91" s="105">
        <v>1931</v>
      </c>
      <c r="C91" s="106">
        <v>-4.4999999999999998E-2</v>
      </c>
      <c r="D91" s="108">
        <f t="shared" si="2"/>
        <v>6.4607806009600965</v>
      </c>
      <c r="E91" s="107">
        <f t="shared" si="3"/>
        <v>6.4607806009600965</v>
      </c>
    </row>
    <row r="92" spans="2:5" ht="15" thickBot="1">
      <c r="B92" s="105">
        <v>1930</v>
      </c>
      <c r="C92" s="106">
        <v>1.0999999999999999E-2</v>
      </c>
      <c r="D92" s="108">
        <f t="shared" si="2"/>
        <v>6.7652152889634518</v>
      </c>
      <c r="E92" s="107">
        <f t="shared" si="3"/>
        <v>6.7652152889634518</v>
      </c>
    </row>
    <row r="93" spans="2:5" ht="15" thickBot="1">
      <c r="B93" s="105">
        <v>1929</v>
      </c>
      <c r="C93" s="106">
        <v>6.0999999999999999E-2</v>
      </c>
      <c r="D93" s="108">
        <f t="shared" si="2"/>
        <v>6.6916076053050961</v>
      </c>
      <c r="E93" s="107">
        <f t="shared" si="3"/>
        <v>6.6916076053050961</v>
      </c>
    </row>
    <row r="94" spans="2:5" ht="15" thickBot="1">
      <c r="B94" s="105">
        <v>1928</v>
      </c>
      <c r="C94" s="106">
        <v>0</v>
      </c>
      <c r="D94" s="108">
        <f t="shared" si="2"/>
        <v>6.3068874696560755</v>
      </c>
      <c r="E94" s="107">
        <f t="shared" si="3"/>
        <v>6.3068874696560755</v>
      </c>
    </row>
    <row r="95" spans="2:5" ht="15" thickBot="1">
      <c r="B95" s="105">
        <v>1927</v>
      </c>
      <c r="C95" s="106">
        <v>3.7999999999999999E-2</v>
      </c>
      <c r="D95" s="108">
        <f t="shared" si="2"/>
        <v>6.3068874696560755</v>
      </c>
      <c r="E95" s="107">
        <f t="shared" si="3"/>
        <v>6.3068874696560755</v>
      </c>
    </row>
    <row r="96" spans="2:5" ht="15" thickBot="1">
      <c r="B96" s="105">
        <v>1926</v>
      </c>
      <c r="C96" s="106">
        <v>0.317</v>
      </c>
      <c r="D96" s="108">
        <f t="shared" si="2"/>
        <v>6.0759994890713633</v>
      </c>
      <c r="E96" s="107">
        <f t="shared" si="3"/>
        <v>6.0759994890713633</v>
      </c>
    </row>
    <row r="97" spans="2:5" ht="15" thickBot="1">
      <c r="B97" s="105">
        <v>1925</v>
      </c>
      <c r="C97" s="106">
        <v>7.1999999999999995E-2</v>
      </c>
      <c r="D97" s="108">
        <f t="shared" si="2"/>
        <v>4.6135151777307239</v>
      </c>
      <c r="E97" s="107">
        <f t="shared" si="3"/>
        <v>4.6135151777307239</v>
      </c>
    </row>
    <row r="98" spans="2:5" ht="15" thickBot="1">
      <c r="B98" s="105">
        <v>1924</v>
      </c>
      <c r="C98" s="106">
        <v>0.14199999999999999</v>
      </c>
      <c r="D98" s="108">
        <f t="shared" si="2"/>
        <v>4.3036522180323917</v>
      </c>
      <c r="E98" s="107">
        <f t="shared" si="3"/>
        <v>4.3036522180323917</v>
      </c>
    </row>
    <row r="99" spans="2:5" ht="15" thickBot="1">
      <c r="B99" s="105">
        <v>1923</v>
      </c>
      <c r="C99" s="106">
        <v>8.8999999999999996E-2</v>
      </c>
      <c r="D99" s="108">
        <f t="shared" si="2"/>
        <v>3.7685220823400978</v>
      </c>
      <c r="E99" s="107">
        <f t="shared" si="3"/>
        <v>3.7685220823400978</v>
      </c>
    </row>
    <row r="100" spans="2:5" ht="15" thickBot="1">
      <c r="B100" s="105">
        <v>1922</v>
      </c>
      <c r="C100" s="106">
        <v>-2.1000000000000001E-2</v>
      </c>
      <c r="D100" s="108">
        <f t="shared" si="2"/>
        <v>3.4605345108724497</v>
      </c>
      <c r="E100" s="107">
        <f t="shared" si="3"/>
        <v>3.4605345108724497</v>
      </c>
    </row>
    <row r="101" spans="2:5" ht="15" thickBot="1">
      <c r="B101" s="105">
        <v>1921</v>
      </c>
      <c r="C101" s="106">
        <v>-0.13300000000000001</v>
      </c>
      <c r="D101" s="108">
        <f t="shared" si="2"/>
        <v>3.5347645667747187</v>
      </c>
      <c r="E101" s="107">
        <f t="shared" si="3"/>
        <v>3.5347645667747187</v>
      </c>
    </row>
    <row r="102" spans="2:5" ht="15" thickBot="1">
      <c r="B102" s="105">
        <v>1920</v>
      </c>
      <c r="C102" s="106">
        <v>0.39500000000000002</v>
      </c>
      <c r="D102" s="108">
        <f t="shared" si="2"/>
        <v>4.0770064207320864</v>
      </c>
      <c r="E102" s="107">
        <f t="shared" si="3"/>
        <v>4.0770064207320864</v>
      </c>
    </row>
    <row r="103" spans="2:5" ht="15" thickBot="1">
      <c r="B103" s="105">
        <v>1919</v>
      </c>
      <c r="C103" s="106">
        <v>0.22600000000000001</v>
      </c>
      <c r="D103" s="108">
        <f t="shared" si="2"/>
        <v>2.9225852478366208</v>
      </c>
      <c r="E103" s="107">
        <f t="shared" si="3"/>
        <v>2.9225852478366208</v>
      </c>
    </row>
    <row r="104" spans="2:5" ht="15" thickBot="1">
      <c r="B104" s="105">
        <v>1918</v>
      </c>
      <c r="C104" s="106">
        <v>0.29199999999999998</v>
      </c>
      <c r="D104" s="108">
        <f t="shared" si="2"/>
        <v>2.3838378856742422</v>
      </c>
      <c r="E104" s="107">
        <f t="shared" si="3"/>
        <v>2.3838378856742422</v>
      </c>
    </row>
    <row r="105" spans="2:5" ht="15" thickBot="1">
      <c r="B105" s="105">
        <v>1917</v>
      </c>
      <c r="C105" s="106">
        <v>0.2</v>
      </c>
      <c r="D105" s="108">
        <f t="shared" si="2"/>
        <v>1.8450757629057604</v>
      </c>
      <c r="E105" s="107">
        <f t="shared" si="3"/>
        <v>1.8450757629057604</v>
      </c>
    </row>
    <row r="106" spans="2:5" ht="15" thickBot="1">
      <c r="B106" s="105">
        <v>1916</v>
      </c>
      <c r="C106" s="106">
        <v>0.112</v>
      </c>
      <c r="D106" s="108">
        <f t="shared" si="2"/>
        <v>1.5375631357548003</v>
      </c>
      <c r="E106" s="107">
        <f t="shared" si="3"/>
        <v>1.5375631357548003</v>
      </c>
    </row>
    <row r="107" spans="2:5" ht="15" thickBot="1">
      <c r="B107" s="105">
        <v>1915</v>
      </c>
      <c r="C107" s="106">
        <v>0.19800000000000001</v>
      </c>
      <c r="D107" s="108">
        <f t="shared" si="2"/>
        <v>1.3827006616500002</v>
      </c>
      <c r="E107" s="107">
        <f t="shared" si="3"/>
        <v>1.3827006616500002</v>
      </c>
    </row>
    <row r="108" spans="2:5" ht="15" thickBot="1">
      <c r="B108" s="105">
        <v>1914</v>
      </c>
      <c r="C108" s="106">
        <v>0</v>
      </c>
      <c r="D108" s="108">
        <f t="shared" si="2"/>
        <v>1.1541741750000001</v>
      </c>
      <c r="E108" s="107">
        <f t="shared" si="3"/>
        <v>1.1541741750000001</v>
      </c>
    </row>
    <row r="109" spans="2:5" ht="15" thickBot="1">
      <c r="B109" s="105">
        <v>1913</v>
      </c>
      <c r="C109" s="106">
        <v>0</v>
      </c>
      <c r="D109" s="108">
        <f t="shared" si="2"/>
        <v>1.1541741750000001</v>
      </c>
      <c r="E109" s="107">
        <f t="shared" si="3"/>
        <v>1.1541741750000001</v>
      </c>
    </row>
    <row r="110" spans="2:5" ht="15" thickBot="1">
      <c r="B110" s="105">
        <v>1912</v>
      </c>
      <c r="C110" s="106">
        <v>0</v>
      </c>
      <c r="D110" s="108">
        <f t="shared" si="2"/>
        <v>1.1541741750000001</v>
      </c>
      <c r="E110" s="107">
        <f t="shared" si="3"/>
        <v>1.1541741750000001</v>
      </c>
    </row>
    <row r="111" spans="2:5" ht="15" thickBot="1">
      <c r="B111" s="105">
        <v>1911</v>
      </c>
      <c r="C111" s="106">
        <v>0.155</v>
      </c>
      <c r="D111" s="108">
        <f t="shared" si="2"/>
        <v>1.1541741750000001</v>
      </c>
      <c r="E111" s="107">
        <f t="shared" si="3"/>
        <v>1.1541741750000001</v>
      </c>
    </row>
    <row r="112" spans="2:5" ht="15" thickBot="1">
      <c r="B112" s="105">
        <v>1910</v>
      </c>
      <c r="C112" s="106">
        <v>0</v>
      </c>
      <c r="D112" s="108">
        <f t="shared" si="2"/>
        <v>0.99928500000000009</v>
      </c>
      <c r="E112" s="107">
        <f t="shared" si="3"/>
        <v>0.99928500000000009</v>
      </c>
    </row>
    <row r="113" spans="2:5" ht="15" thickBot="1">
      <c r="B113" s="105">
        <v>1909</v>
      </c>
      <c r="C113" s="106">
        <v>0</v>
      </c>
      <c r="D113" s="108">
        <f t="shared" si="2"/>
        <v>0.99928500000000009</v>
      </c>
      <c r="E113" s="107">
        <f t="shared" si="3"/>
        <v>0.99928500000000009</v>
      </c>
    </row>
    <row r="114" spans="2:5" ht="15" thickBot="1">
      <c r="B114" s="105">
        <v>1908</v>
      </c>
      <c r="C114" s="106">
        <v>0</v>
      </c>
      <c r="D114" s="108">
        <f t="shared" si="2"/>
        <v>0.99928500000000009</v>
      </c>
      <c r="E114" s="107">
        <f t="shared" si="3"/>
        <v>0.99928500000000009</v>
      </c>
    </row>
    <row r="115" spans="2:5" ht="15" thickBot="1">
      <c r="B115" s="105">
        <v>1907</v>
      </c>
      <c r="C115" s="106">
        <v>8.5000000000000006E-2</v>
      </c>
      <c r="D115" s="108">
        <f t="shared" si="2"/>
        <v>0.99928500000000009</v>
      </c>
      <c r="E115" s="107">
        <f t="shared" si="3"/>
        <v>0.99928500000000009</v>
      </c>
    </row>
    <row r="116" spans="2:5" ht="15" thickBot="1">
      <c r="B116" s="105">
        <v>1906</v>
      </c>
      <c r="C116" s="106">
        <v>-7.9000000000000001E-2</v>
      </c>
      <c r="D116" s="108">
        <f t="shared" si="2"/>
        <v>0.92100000000000004</v>
      </c>
      <c r="E116" s="107">
        <f t="shared" si="3"/>
        <v>0.92100000000000004</v>
      </c>
    </row>
    <row r="117" spans="2:5" ht="15" thickBot="1">
      <c r="B117" s="105">
        <v>1905</v>
      </c>
      <c r="C117" s="106">
        <v>0</v>
      </c>
      <c r="D117" s="108">
        <f t="shared" si="2"/>
        <v>1</v>
      </c>
      <c r="E117" s="107">
        <f t="shared" si="3"/>
        <v>1</v>
      </c>
    </row>
    <row r="118" spans="2:5" ht="15" thickBot="1">
      <c r="B118" s="105">
        <v>1904</v>
      </c>
      <c r="C118" s="106">
        <v>0</v>
      </c>
      <c r="D118" s="108">
        <f t="shared" si="2"/>
        <v>1</v>
      </c>
      <c r="E118" s="107">
        <f t="shared" si="3"/>
        <v>1</v>
      </c>
    </row>
    <row r="119" spans="2:5" ht="15" thickBot="1">
      <c r="B119" s="105">
        <v>1903</v>
      </c>
      <c r="C119" s="106">
        <v>0</v>
      </c>
      <c r="D119" s="108">
        <f t="shared" si="2"/>
        <v>1</v>
      </c>
      <c r="E119" s="107">
        <f t="shared" si="3"/>
        <v>1</v>
      </c>
    </row>
    <row r="120" spans="2:5" ht="15" thickBot="1">
      <c r="B120" s="105">
        <v>1902</v>
      </c>
      <c r="C120" s="106">
        <v>0</v>
      </c>
      <c r="D120" s="108">
        <f>D121+(C120*D121)</f>
        <v>1</v>
      </c>
      <c r="E120" s="107">
        <f>D121+(C120*D121)</f>
        <v>1</v>
      </c>
    </row>
    <row r="121" spans="2:5" ht="15" thickBot="1">
      <c r="B121" s="105">
        <v>1901</v>
      </c>
      <c r="C121" s="106">
        <v>0</v>
      </c>
      <c r="D121" s="105">
        <v>1</v>
      </c>
      <c r="E121" s="10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R25"/>
  <sheetViews>
    <sheetView topLeftCell="B2" workbookViewId="0">
      <selection activeCell="I21" sqref="I21:L25"/>
    </sheetView>
  </sheetViews>
  <sheetFormatPr defaultColWidth="11.42578125" defaultRowHeight="13.15"/>
  <cols>
    <col min="1" max="4" width="11.42578125" style="2"/>
    <col min="5" max="5" width="14.5703125" style="2" customWidth="1"/>
    <col min="6" max="8" width="11.42578125" style="2"/>
    <col min="9" max="9" width="12.7109375" style="2" customWidth="1"/>
    <col min="10" max="14" width="11.42578125" style="2"/>
    <col min="15" max="15" width="12.7109375" style="2" customWidth="1"/>
    <col min="16" max="260" width="11.42578125" style="2"/>
    <col min="261" max="261" width="14.5703125" style="2" customWidth="1"/>
    <col min="262" max="516" width="11.42578125" style="2"/>
    <col min="517" max="517" width="14.5703125" style="2" customWidth="1"/>
    <col min="518" max="772" width="11.42578125" style="2"/>
    <col min="773" max="773" width="14.5703125" style="2" customWidth="1"/>
    <col min="774" max="1028" width="11.42578125" style="2"/>
    <col min="1029" max="1029" width="14.5703125" style="2" customWidth="1"/>
    <col min="1030" max="1284" width="11.42578125" style="2"/>
    <col min="1285" max="1285" width="14.5703125" style="2" customWidth="1"/>
    <col min="1286" max="1540" width="11.42578125" style="2"/>
    <col min="1541" max="1541" width="14.5703125" style="2" customWidth="1"/>
    <col min="1542" max="1796" width="11.42578125" style="2"/>
    <col min="1797" max="1797" width="14.5703125" style="2" customWidth="1"/>
    <col min="1798" max="2052" width="11.42578125" style="2"/>
    <col min="2053" max="2053" width="14.5703125" style="2" customWidth="1"/>
    <col min="2054" max="2308" width="11.42578125" style="2"/>
    <col min="2309" max="2309" width="14.5703125" style="2" customWidth="1"/>
    <col min="2310" max="2564" width="11.42578125" style="2"/>
    <col min="2565" max="2565" width="14.5703125" style="2" customWidth="1"/>
    <col min="2566" max="2820" width="11.42578125" style="2"/>
    <col min="2821" max="2821" width="14.5703125" style="2" customWidth="1"/>
    <col min="2822" max="3076" width="11.42578125" style="2"/>
    <col min="3077" max="3077" width="14.5703125" style="2" customWidth="1"/>
    <col min="3078" max="3332" width="11.42578125" style="2"/>
    <col min="3333" max="3333" width="14.5703125" style="2" customWidth="1"/>
    <col min="3334" max="3588" width="11.42578125" style="2"/>
    <col min="3589" max="3589" width="14.5703125" style="2" customWidth="1"/>
    <col min="3590" max="3844" width="11.42578125" style="2"/>
    <col min="3845" max="3845" width="14.5703125" style="2" customWidth="1"/>
    <col min="3846" max="4100" width="11.42578125" style="2"/>
    <col min="4101" max="4101" width="14.5703125" style="2" customWidth="1"/>
    <col min="4102" max="4356" width="11.42578125" style="2"/>
    <col min="4357" max="4357" width="14.5703125" style="2" customWidth="1"/>
    <col min="4358" max="4612" width="11.42578125" style="2"/>
    <col min="4613" max="4613" width="14.5703125" style="2" customWidth="1"/>
    <col min="4614" max="4868" width="11.42578125" style="2"/>
    <col min="4869" max="4869" width="14.5703125" style="2" customWidth="1"/>
    <col min="4870" max="5124" width="11.42578125" style="2"/>
    <col min="5125" max="5125" width="14.5703125" style="2" customWidth="1"/>
    <col min="5126" max="5380" width="11.42578125" style="2"/>
    <col min="5381" max="5381" width="14.5703125" style="2" customWidth="1"/>
    <col min="5382" max="5636" width="11.42578125" style="2"/>
    <col min="5637" max="5637" width="14.5703125" style="2" customWidth="1"/>
    <col min="5638" max="5892" width="11.42578125" style="2"/>
    <col min="5893" max="5893" width="14.5703125" style="2" customWidth="1"/>
    <col min="5894" max="6148" width="11.42578125" style="2"/>
    <col min="6149" max="6149" width="14.5703125" style="2" customWidth="1"/>
    <col min="6150" max="6404" width="11.42578125" style="2"/>
    <col min="6405" max="6405" width="14.5703125" style="2" customWidth="1"/>
    <col min="6406" max="6660" width="11.42578125" style="2"/>
    <col min="6661" max="6661" width="14.5703125" style="2" customWidth="1"/>
    <col min="6662" max="6916" width="11.42578125" style="2"/>
    <col min="6917" max="6917" width="14.5703125" style="2" customWidth="1"/>
    <col min="6918" max="7172" width="11.42578125" style="2"/>
    <col min="7173" max="7173" width="14.5703125" style="2" customWidth="1"/>
    <col min="7174" max="7428" width="11.42578125" style="2"/>
    <col min="7429" max="7429" width="14.5703125" style="2" customWidth="1"/>
    <col min="7430" max="7684" width="11.42578125" style="2"/>
    <col min="7685" max="7685" width="14.5703125" style="2" customWidth="1"/>
    <col min="7686" max="7940" width="11.42578125" style="2"/>
    <col min="7941" max="7941" width="14.5703125" style="2" customWidth="1"/>
    <col min="7942" max="8196" width="11.42578125" style="2"/>
    <col min="8197" max="8197" width="14.5703125" style="2" customWidth="1"/>
    <col min="8198" max="8452" width="11.42578125" style="2"/>
    <col min="8453" max="8453" width="14.5703125" style="2" customWidth="1"/>
    <col min="8454" max="8708" width="11.42578125" style="2"/>
    <col min="8709" max="8709" width="14.5703125" style="2" customWidth="1"/>
    <col min="8710" max="8964" width="11.42578125" style="2"/>
    <col min="8965" max="8965" width="14.5703125" style="2" customWidth="1"/>
    <col min="8966" max="9220" width="11.42578125" style="2"/>
    <col min="9221" max="9221" width="14.5703125" style="2" customWidth="1"/>
    <col min="9222" max="9476" width="11.42578125" style="2"/>
    <col min="9477" max="9477" width="14.5703125" style="2" customWidth="1"/>
    <col min="9478" max="9732" width="11.42578125" style="2"/>
    <col min="9733" max="9733" width="14.5703125" style="2" customWidth="1"/>
    <col min="9734" max="9988" width="11.42578125" style="2"/>
    <col min="9989" max="9989" width="14.5703125" style="2" customWidth="1"/>
    <col min="9990" max="10244" width="11.42578125" style="2"/>
    <col min="10245" max="10245" width="14.5703125" style="2" customWidth="1"/>
    <col min="10246" max="10500" width="11.42578125" style="2"/>
    <col min="10501" max="10501" width="14.5703125" style="2" customWidth="1"/>
    <col min="10502" max="10756" width="11.42578125" style="2"/>
    <col min="10757" max="10757" width="14.5703125" style="2" customWidth="1"/>
    <col min="10758" max="11012" width="11.42578125" style="2"/>
    <col min="11013" max="11013" width="14.5703125" style="2" customWidth="1"/>
    <col min="11014" max="11268" width="11.42578125" style="2"/>
    <col min="11269" max="11269" width="14.5703125" style="2" customWidth="1"/>
    <col min="11270" max="11524" width="11.42578125" style="2"/>
    <col min="11525" max="11525" width="14.5703125" style="2" customWidth="1"/>
    <col min="11526" max="11780" width="11.42578125" style="2"/>
    <col min="11781" max="11781" width="14.5703125" style="2" customWidth="1"/>
    <col min="11782" max="12036" width="11.42578125" style="2"/>
    <col min="12037" max="12037" width="14.5703125" style="2" customWidth="1"/>
    <col min="12038" max="12292" width="11.42578125" style="2"/>
    <col min="12293" max="12293" width="14.5703125" style="2" customWidth="1"/>
    <col min="12294" max="12548" width="11.42578125" style="2"/>
    <col min="12549" max="12549" width="14.5703125" style="2" customWidth="1"/>
    <col min="12550" max="12804" width="11.42578125" style="2"/>
    <col min="12805" max="12805" width="14.5703125" style="2" customWidth="1"/>
    <col min="12806" max="13060" width="11.42578125" style="2"/>
    <col min="13061" max="13061" width="14.5703125" style="2" customWidth="1"/>
    <col min="13062" max="13316" width="11.42578125" style="2"/>
    <col min="13317" max="13317" width="14.5703125" style="2" customWidth="1"/>
    <col min="13318" max="13572" width="11.42578125" style="2"/>
    <col min="13573" max="13573" width="14.5703125" style="2" customWidth="1"/>
    <col min="13574" max="13828" width="11.42578125" style="2"/>
    <col min="13829" max="13829" width="14.5703125" style="2" customWidth="1"/>
    <col min="13830" max="14084" width="11.42578125" style="2"/>
    <col min="14085" max="14085" width="14.5703125" style="2" customWidth="1"/>
    <col min="14086" max="14340" width="11.42578125" style="2"/>
    <col min="14341" max="14341" width="14.5703125" style="2" customWidth="1"/>
    <col min="14342" max="14596" width="11.42578125" style="2"/>
    <col min="14597" max="14597" width="14.5703125" style="2" customWidth="1"/>
    <col min="14598" max="14852" width="11.42578125" style="2"/>
    <col min="14853" max="14853" width="14.5703125" style="2" customWidth="1"/>
    <col min="14854" max="15108" width="11.42578125" style="2"/>
    <col min="15109" max="15109" width="14.5703125" style="2" customWidth="1"/>
    <col min="15110" max="15364" width="11.42578125" style="2"/>
    <col min="15365" max="15365" width="14.5703125" style="2" customWidth="1"/>
    <col min="15366" max="15620" width="11.42578125" style="2"/>
    <col min="15621" max="15621" width="14.5703125" style="2" customWidth="1"/>
    <col min="15622" max="15876" width="11.42578125" style="2"/>
    <col min="15877" max="15877" width="14.5703125" style="2" customWidth="1"/>
    <col min="15878" max="16132" width="11.42578125" style="2"/>
    <col min="16133" max="16133" width="14.5703125" style="2" customWidth="1"/>
    <col min="16134" max="16384" width="11.42578125" style="2"/>
  </cols>
  <sheetData>
    <row r="4" spans="2:18" ht="14.25" customHeight="1">
      <c r="B4" s="1"/>
      <c r="C4" s="134" t="s">
        <v>14</v>
      </c>
      <c r="D4" s="135" t="s">
        <v>15</v>
      </c>
      <c r="E4" s="135"/>
      <c r="F4" s="70">
        <f>40*400</f>
        <v>16000</v>
      </c>
      <c r="H4" s="1"/>
      <c r="I4" s="134" t="s">
        <v>16</v>
      </c>
      <c r="J4" s="135" t="s">
        <v>15</v>
      </c>
      <c r="K4" s="135"/>
      <c r="L4" s="70">
        <v>90000</v>
      </c>
      <c r="N4" s="1"/>
      <c r="O4" s="134" t="s">
        <v>17</v>
      </c>
      <c r="P4" s="135" t="s">
        <v>18</v>
      </c>
      <c r="Q4" s="135"/>
      <c r="R4" s="70">
        <f>F4+F16+L4+L16</f>
        <v>120000</v>
      </c>
    </row>
    <row r="5" spans="2:18" ht="14.25" customHeight="1">
      <c r="B5" s="1"/>
      <c r="C5" s="134"/>
      <c r="D5" s="136" t="s">
        <v>19</v>
      </c>
      <c r="E5" s="136"/>
      <c r="F5" s="1"/>
      <c r="H5" s="1"/>
      <c r="I5" s="134"/>
      <c r="J5" s="136" t="s">
        <v>19</v>
      </c>
      <c r="K5" s="136"/>
      <c r="L5" s="1"/>
      <c r="N5" s="1"/>
      <c r="O5" s="134"/>
      <c r="P5" s="136" t="s">
        <v>19</v>
      </c>
      <c r="Q5" s="136"/>
      <c r="R5" s="1"/>
    </row>
    <row r="6" spans="2:18" ht="14.25" customHeight="1">
      <c r="B6" s="1"/>
      <c r="C6" s="134"/>
      <c r="D6" s="3" t="s">
        <v>20</v>
      </c>
      <c r="E6" s="4">
        <v>5</v>
      </c>
      <c r="F6" s="3" t="s">
        <v>21</v>
      </c>
      <c r="H6" s="1"/>
      <c r="I6" s="134"/>
      <c r="J6" s="3" t="s">
        <v>20</v>
      </c>
      <c r="K6" s="4">
        <v>5</v>
      </c>
      <c r="L6" s="3" t="s">
        <v>21</v>
      </c>
      <c r="N6" s="1"/>
      <c r="O6" s="134"/>
      <c r="P6" s="3" t="s">
        <v>20</v>
      </c>
      <c r="Q6" s="4">
        <v>5</v>
      </c>
      <c r="R6" s="3" t="s">
        <v>21</v>
      </c>
    </row>
    <row r="7" spans="2:18">
      <c r="B7" s="1"/>
      <c r="C7" s="1"/>
      <c r="D7" s="1"/>
      <c r="E7" s="1"/>
      <c r="F7" s="1"/>
      <c r="H7" s="1"/>
      <c r="I7" s="1"/>
      <c r="J7" s="1"/>
      <c r="K7" s="1"/>
      <c r="L7" s="1"/>
      <c r="N7" s="1"/>
      <c r="O7" s="1"/>
      <c r="P7" s="1"/>
      <c r="Q7" s="1"/>
      <c r="R7" s="1"/>
    </row>
    <row r="8" spans="2:18" ht="39.6">
      <c r="B8" s="5" t="s">
        <v>22</v>
      </c>
      <c r="C8" s="6" t="s">
        <v>23</v>
      </c>
      <c r="D8" s="6" t="s">
        <v>24</v>
      </c>
      <c r="E8" s="6" t="s">
        <v>25</v>
      </c>
      <c r="F8" s="6" t="s">
        <v>26</v>
      </c>
      <c r="H8" s="5" t="s">
        <v>22</v>
      </c>
      <c r="I8" s="6" t="s">
        <v>23</v>
      </c>
      <c r="J8" s="6" t="s">
        <v>24</v>
      </c>
      <c r="K8" s="6" t="s">
        <v>25</v>
      </c>
      <c r="L8" s="6" t="s">
        <v>26</v>
      </c>
      <c r="N8" s="5" t="s">
        <v>22</v>
      </c>
      <c r="O8" s="6" t="s">
        <v>23</v>
      </c>
      <c r="P8" s="6" t="s">
        <v>24</v>
      </c>
      <c r="Q8" s="6" t="s">
        <v>25</v>
      </c>
      <c r="R8" s="6" t="s">
        <v>26</v>
      </c>
    </row>
    <row r="9" spans="2:18">
      <c r="B9" s="7">
        <v>1</v>
      </c>
      <c r="C9" s="8"/>
      <c r="D9" s="9"/>
      <c r="E9" s="10"/>
      <c r="F9" s="11"/>
      <c r="H9" s="7">
        <v>1</v>
      </c>
      <c r="I9" s="8"/>
      <c r="J9" s="9"/>
      <c r="K9" s="10"/>
      <c r="L9" s="11"/>
      <c r="N9" s="7">
        <v>1</v>
      </c>
      <c r="O9" s="8"/>
      <c r="P9" s="9"/>
      <c r="Q9" s="10"/>
      <c r="R9" s="11"/>
    </row>
    <row r="10" spans="2:18">
      <c r="B10" s="7">
        <v>2</v>
      </c>
      <c r="C10" s="12"/>
      <c r="D10" s="13"/>
      <c r="E10" s="12"/>
      <c r="F10" s="12"/>
      <c r="H10" s="7">
        <v>2</v>
      </c>
      <c r="I10" s="12"/>
      <c r="J10" s="13"/>
      <c r="K10" s="12"/>
      <c r="L10" s="12"/>
      <c r="N10" s="7">
        <v>2</v>
      </c>
      <c r="O10" s="12"/>
      <c r="P10" s="13"/>
      <c r="Q10" s="12"/>
      <c r="R10" s="12"/>
    </row>
    <row r="11" spans="2:18">
      <c r="B11" s="7">
        <v>3</v>
      </c>
      <c r="C11" s="8"/>
      <c r="D11" s="9"/>
      <c r="E11" s="10"/>
      <c r="F11" s="11"/>
      <c r="H11" s="7">
        <v>3</v>
      </c>
      <c r="I11" s="8"/>
      <c r="J11" s="9"/>
      <c r="K11" s="10"/>
      <c r="L11" s="11"/>
      <c r="N11" s="7">
        <v>3</v>
      </c>
      <c r="O11" s="8"/>
      <c r="P11" s="9"/>
      <c r="Q11" s="10"/>
      <c r="R11" s="11"/>
    </row>
    <row r="12" spans="2:18">
      <c r="B12" s="7">
        <v>4</v>
      </c>
      <c r="C12" s="12"/>
      <c r="D12" s="13"/>
      <c r="E12" s="12"/>
      <c r="F12" s="12"/>
      <c r="H12" s="7">
        <v>4</v>
      </c>
      <c r="I12" s="12"/>
      <c r="J12" s="13"/>
      <c r="K12" s="12"/>
      <c r="L12" s="12"/>
      <c r="N12" s="7">
        <v>4</v>
      </c>
      <c r="O12" s="12"/>
      <c r="P12" s="13"/>
      <c r="Q12" s="12"/>
      <c r="R12" s="12"/>
    </row>
    <row r="13" spans="2:18">
      <c r="B13" s="7">
        <v>5</v>
      </c>
      <c r="C13" s="8"/>
      <c r="D13" s="9"/>
      <c r="E13" s="10"/>
      <c r="F13" s="11"/>
      <c r="H13" s="7">
        <v>5</v>
      </c>
      <c r="I13" s="8"/>
      <c r="J13" s="9"/>
      <c r="K13" s="10"/>
      <c r="L13" s="11"/>
      <c r="N13" s="7">
        <v>5</v>
      </c>
      <c r="O13" s="8"/>
      <c r="P13" s="9"/>
      <c r="Q13" s="10"/>
      <c r="R13" s="11"/>
    </row>
    <row r="16" spans="2:18" ht="12.75" customHeight="1">
      <c r="B16" s="1"/>
      <c r="C16" s="134" t="s">
        <v>27</v>
      </c>
      <c r="D16" s="135" t="s">
        <v>15</v>
      </c>
      <c r="E16" s="135"/>
      <c r="F16" s="70">
        <v>8000</v>
      </c>
      <c r="H16" s="1"/>
      <c r="I16" s="134" t="s">
        <v>28</v>
      </c>
      <c r="J16" s="135" t="s">
        <v>15</v>
      </c>
      <c r="K16" s="135"/>
      <c r="L16" s="70">
        <v>6000</v>
      </c>
      <c r="Q16" s="109">
        <f>E9+K9+E21+K21</f>
        <v>0</v>
      </c>
    </row>
    <row r="17" spans="2:12">
      <c r="B17" s="1"/>
      <c r="C17" s="134"/>
      <c r="D17" s="136" t="s">
        <v>19</v>
      </c>
      <c r="E17" s="136"/>
      <c r="F17" s="1"/>
      <c r="H17" s="1"/>
      <c r="I17" s="134"/>
      <c r="J17" s="136" t="s">
        <v>19</v>
      </c>
      <c r="K17" s="136"/>
      <c r="L17" s="1"/>
    </row>
    <row r="18" spans="2:12">
      <c r="B18" s="1"/>
      <c r="C18" s="134"/>
      <c r="D18" s="3" t="s">
        <v>20</v>
      </c>
      <c r="E18" s="4">
        <v>5</v>
      </c>
      <c r="F18" s="3" t="s">
        <v>21</v>
      </c>
      <c r="H18" s="1"/>
      <c r="I18" s="134"/>
      <c r="J18" s="3" t="s">
        <v>20</v>
      </c>
      <c r="K18" s="4">
        <v>5</v>
      </c>
      <c r="L18" s="3" t="s">
        <v>21</v>
      </c>
    </row>
    <row r="19" spans="2:12">
      <c r="B19" s="1"/>
      <c r="C19" s="1"/>
      <c r="D19" s="1"/>
      <c r="E19" s="1"/>
      <c r="F19" s="1"/>
      <c r="H19" s="1"/>
      <c r="I19" s="1"/>
      <c r="J19" s="1"/>
      <c r="K19" s="1"/>
      <c r="L19" s="1"/>
    </row>
    <row r="20" spans="2:12" ht="39.6">
      <c r="B20" s="5" t="s">
        <v>22</v>
      </c>
      <c r="C20" s="6" t="s">
        <v>23</v>
      </c>
      <c r="D20" s="6" t="s">
        <v>24</v>
      </c>
      <c r="E20" s="6" t="s">
        <v>25</v>
      </c>
      <c r="F20" s="6" t="s">
        <v>26</v>
      </c>
      <c r="H20" s="5" t="s">
        <v>22</v>
      </c>
      <c r="I20" s="6" t="s">
        <v>23</v>
      </c>
      <c r="J20" s="6" t="s">
        <v>24</v>
      </c>
      <c r="K20" s="6" t="s">
        <v>25</v>
      </c>
      <c r="L20" s="6" t="s">
        <v>26</v>
      </c>
    </row>
    <row r="21" spans="2:12">
      <c r="B21" s="7">
        <v>1</v>
      </c>
      <c r="C21" s="8"/>
      <c r="D21" s="9"/>
      <c r="E21" s="10"/>
      <c r="F21" s="11"/>
      <c r="H21" s="7">
        <v>1</v>
      </c>
      <c r="I21" s="8"/>
      <c r="J21" s="9"/>
      <c r="K21" s="10"/>
      <c r="L21" s="11"/>
    </row>
    <row r="22" spans="2:12">
      <c r="B22" s="7">
        <v>2</v>
      </c>
      <c r="C22" s="12"/>
      <c r="D22" s="13"/>
      <c r="E22" s="12"/>
      <c r="F22" s="12"/>
      <c r="H22" s="7">
        <v>2</v>
      </c>
      <c r="I22" s="12"/>
      <c r="J22" s="13"/>
      <c r="K22" s="12"/>
      <c r="L22" s="12"/>
    </row>
    <row r="23" spans="2:12">
      <c r="B23" s="7">
        <v>3</v>
      </c>
      <c r="C23" s="8"/>
      <c r="D23" s="9"/>
      <c r="E23" s="10"/>
      <c r="F23" s="11"/>
      <c r="H23" s="7">
        <v>3</v>
      </c>
      <c r="I23" s="8"/>
      <c r="J23" s="9"/>
      <c r="K23" s="10"/>
      <c r="L23" s="11"/>
    </row>
    <row r="24" spans="2:12">
      <c r="B24" s="7">
        <v>4</v>
      </c>
      <c r="C24" s="12"/>
      <c r="D24" s="13"/>
      <c r="E24" s="12"/>
      <c r="F24" s="12"/>
      <c r="H24" s="7">
        <v>4</v>
      </c>
      <c r="I24" s="12"/>
      <c r="J24" s="13"/>
      <c r="K24" s="12"/>
      <c r="L24" s="12"/>
    </row>
    <row r="25" spans="2:12">
      <c r="B25" s="7">
        <v>5</v>
      </c>
      <c r="C25" s="8"/>
      <c r="D25" s="9"/>
      <c r="E25" s="10"/>
      <c r="F25" s="11"/>
      <c r="H25" s="7">
        <v>5</v>
      </c>
      <c r="I25" s="8"/>
      <c r="J25" s="9"/>
      <c r="K25" s="10"/>
      <c r="L25" s="11"/>
    </row>
  </sheetData>
  <mergeCells count="15">
    <mergeCell ref="J17:K17"/>
    <mergeCell ref="C4:C6"/>
    <mergeCell ref="D5:E5"/>
    <mergeCell ref="C16:C18"/>
    <mergeCell ref="D17:E17"/>
    <mergeCell ref="I4:I6"/>
    <mergeCell ref="I16:I18"/>
    <mergeCell ref="O4:O6"/>
    <mergeCell ref="P4:Q4"/>
    <mergeCell ref="P5:Q5"/>
    <mergeCell ref="D4:E4"/>
    <mergeCell ref="D16:E16"/>
    <mergeCell ref="J4:K4"/>
    <mergeCell ref="J5:K5"/>
    <mergeCell ref="J16:K16"/>
  </mergeCells>
  <pageMargins left="0.78740157499999996" right="0.78740157499999996" top="0.984251969" bottom="0.984251969" header="0.4921259845" footer="0.4921259845"/>
  <pageSetup paperSize="9" orientation="portrait" horizontalDpi="300" verticalDpi="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zoomScale="130" zoomScaleNormal="130" workbookViewId="0">
      <selection activeCell="C26" sqref="C26:H26"/>
    </sheetView>
  </sheetViews>
  <sheetFormatPr defaultColWidth="11.42578125" defaultRowHeight="14.45"/>
  <cols>
    <col min="2" max="2" width="26.28515625" customWidth="1"/>
  </cols>
  <sheetData>
    <row r="1" spans="1:8" ht="15" thickBot="1">
      <c r="A1" t="s">
        <v>29</v>
      </c>
    </row>
    <row r="2" spans="1:8" ht="15" thickBot="1">
      <c r="B2" s="137" t="s">
        <v>30</v>
      </c>
      <c r="C2" s="138"/>
      <c r="D2" s="138"/>
      <c r="E2" s="138"/>
      <c r="F2" s="138"/>
      <c r="G2" s="138"/>
      <c r="H2" s="139"/>
    </row>
    <row r="3" spans="1:8">
      <c r="B3" s="66" t="s">
        <v>31</v>
      </c>
      <c r="C3" s="50">
        <v>2019</v>
      </c>
      <c r="D3" s="50">
        <f>C3+1</f>
        <v>2020</v>
      </c>
      <c r="E3" s="50">
        <f t="shared" ref="E3:H3" si="0">D3+1</f>
        <v>2021</v>
      </c>
      <c r="F3" s="50">
        <f t="shared" si="0"/>
        <v>2022</v>
      </c>
      <c r="G3" s="50">
        <f t="shared" si="0"/>
        <v>2023</v>
      </c>
      <c r="H3" s="51">
        <f t="shared" si="0"/>
        <v>2024</v>
      </c>
    </row>
    <row r="4" spans="1:8">
      <c r="B4" s="52" t="s">
        <v>32</v>
      </c>
      <c r="C4" s="53">
        <f>SUM(C5:C8)</f>
        <v>0</v>
      </c>
      <c r="D4" s="53"/>
      <c r="E4" s="53"/>
      <c r="F4" s="53"/>
      <c r="G4" s="53"/>
      <c r="H4" s="54"/>
    </row>
    <row r="5" spans="1:8">
      <c r="B5" s="34" t="s">
        <v>33</v>
      </c>
      <c r="C5" s="35"/>
      <c r="D5" s="35"/>
      <c r="E5" s="35"/>
      <c r="F5" s="35"/>
      <c r="G5" s="35"/>
      <c r="H5" s="36"/>
    </row>
    <row r="6" spans="1:8">
      <c r="B6" s="34" t="s">
        <v>27</v>
      </c>
      <c r="C6" s="35"/>
      <c r="D6" s="35"/>
      <c r="E6" s="35"/>
      <c r="F6" s="35"/>
      <c r="G6" s="35"/>
      <c r="H6" s="36"/>
    </row>
    <row r="7" spans="1:8">
      <c r="B7" s="34" t="s">
        <v>16</v>
      </c>
      <c r="C7" s="35"/>
      <c r="D7" s="35"/>
      <c r="E7" s="35"/>
      <c r="F7" s="35"/>
      <c r="G7" s="35"/>
      <c r="H7" s="36"/>
    </row>
    <row r="8" spans="1:8">
      <c r="B8" s="34" t="s">
        <v>28</v>
      </c>
      <c r="C8" s="35"/>
      <c r="D8" s="35"/>
      <c r="E8" s="35"/>
      <c r="F8" s="35"/>
      <c r="G8" s="35"/>
      <c r="H8" s="36"/>
    </row>
    <row r="9" spans="1:8" ht="15" thickBot="1">
      <c r="B9" s="42"/>
      <c r="C9" s="48"/>
      <c r="D9" s="48"/>
      <c r="E9" s="48"/>
      <c r="F9" s="48"/>
      <c r="G9" s="48"/>
      <c r="H9" s="49"/>
    </row>
    <row r="10" spans="1:8" ht="15" thickBot="1">
      <c r="B10" s="140" t="s">
        <v>34</v>
      </c>
      <c r="C10" s="141"/>
      <c r="D10" s="141"/>
      <c r="E10" s="141"/>
      <c r="F10" s="141"/>
      <c r="G10" s="141"/>
      <c r="H10" s="142"/>
    </row>
    <row r="11" spans="1:8">
      <c r="B11" s="45" t="s">
        <v>35</v>
      </c>
      <c r="C11" s="46"/>
      <c r="D11" s="46">
        <f>SUM(D12:D18)</f>
        <v>0</v>
      </c>
      <c r="E11" s="46">
        <f t="shared" ref="E11:H11" si="1">SUM(E12:E18)</f>
        <v>0</v>
      </c>
      <c r="F11" s="46">
        <f t="shared" si="1"/>
        <v>0</v>
      </c>
      <c r="G11" s="46">
        <f t="shared" si="1"/>
        <v>0</v>
      </c>
      <c r="H11" s="47">
        <f t="shared" si="1"/>
        <v>0</v>
      </c>
    </row>
    <row r="12" spans="1:8">
      <c r="B12" s="34" t="s">
        <v>36</v>
      </c>
      <c r="C12" s="35"/>
      <c r="D12" s="35"/>
      <c r="E12" s="35"/>
      <c r="F12" s="35"/>
      <c r="G12" s="35"/>
      <c r="H12" s="36"/>
    </row>
    <row r="13" spans="1:8">
      <c r="B13" s="34" t="s">
        <v>37</v>
      </c>
      <c r="C13" s="35"/>
      <c r="D13" s="35"/>
      <c r="E13" s="35"/>
      <c r="F13" s="35"/>
      <c r="G13" s="35"/>
      <c r="H13" s="36"/>
    </row>
    <row r="14" spans="1:8">
      <c r="B14" s="34" t="s">
        <v>38</v>
      </c>
      <c r="C14" s="35"/>
      <c r="D14" s="35"/>
      <c r="E14" s="35"/>
      <c r="F14" s="35"/>
      <c r="G14" s="35"/>
      <c r="H14" s="36"/>
    </row>
    <row r="15" spans="1:8">
      <c r="B15" s="34" t="s">
        <v>39</v>
      </c>
      <c r="C15" s="35"/>
      <c r="D15" s="35"/>
      <c r="E15" s="35"/>
      <c r="F15" s="35"/>
      <c r="G15" s="35"/>
      <c r="H15" s="36"/>
    </row>
    <row r="16" spans="1:8">
      <c r="B16" s="34" t="s">
        <v>40</v>
      </c>
      <c r="C16" s="35"/>
      <c r="D16" s="35"/>
      <c r="E16" s="35"/>
      <c r="F16" s="35"/>
      <c r="G16" s="35"/>
      <c r="H16" s="36"/>
    </row>
    <row r="17" spans="2:8">
      <c r="B17" s="34" t="s">
        <v>41</v>
      </c>
      <c r="C17" s="35"/>
      <c r="D17" s="35"/>
      <c r="E17" s="35"/>
      <c r="F17" s="35"/>
      <c r="G17" s="35"/>
      <c r="H17" s="36"/>
    </row>
    <row r="18" spans="2:8">
      <c r="B18" s="34" t="s">
        <v>42</v>
      </c>
      <c r="C18" s="35"/>
      <c r="D18" s="35"/>
      <c r="E18" s="35"/>
      <c r="F18" s="35"/>
      <c r="G18" s="35"/>
      <c r="H18" s="36"/>
    </row>
    <row r="19" spans="2:8" ht="15" thickBot="1">
      <c r="B19" s="34"/>
      <c r="C19" s="37"/>
      <c r="D19" s="37"/>
      <c r="E19" s="37"/>
      <c r="F19" s="37"/>
      <c r="G19" s="37"/>
      <c r="H19" s="38"/>
    </row>
    <row r="20" spans="2:8">
      <c r="B20" s="45" t="s">
        <v>43</v>
      </c>
      <c r="C20" s="46">
        <f>SUM(C21:C22)</f>
        <v>0</v>
      </c>
      <c r="D20" s="46">
        <f t="shared" ref="D20:H20" si="2">SUM(D21:D22)</f>
        <v>0</v>
      </c>
      <c r="E20" s="46">
        <f t="shared" si="2"/>
        <v>0</v>
      </c>
      <c r="F20" s="46">
        <f t="shared" si="2"/>
        <v>0</v>
      </c>
      <c r="G20" s="46">
        <f t="shared" si="2"/>
        <v>0</v>
      </c>
      <c r="H20" s="47">
        <f t="shared" si="2"/>
        <v>0</v>
      </c>
    </row>
    <row r="21" spans="2:8">
      <c r="B21" s="34" t="s">
        <v>44</v>
      </c>
      <c r="C21" s="35"/>
      <c r="D21" s="35"/>
      <c r="E21" s="35"/>
      <c r="F21" s="35"/>
      <c r="G21" s="35"/>
      <c r="H21" s="36"/>
    </row>
    <row r="22" spans="2:8">
      <c r="B22" s="34" t="s">
        <v>45</v>
      </c>
      <c r="C22" s="35"/>
      <c r="D22" s="35"/>
      <c r="E22" s="35"/>
      <c r="F22" s="35"/>
      <c r="G22" s="35"/>
      <c r="H22" s="36"/>
    </row>
    <row r="23" spans="2:8">
      <c r="B23" s="34"/>
      <c r="C23" s="37"/>
      <c r="D23" s="37"/>
      <c r="E23" s="37"/>
      <c r="F23" s="37"/>
      <c r="G23" s="37"/>
      <c r="H23" s="38"/>
    </row>
    <row r="24" spans="2:8" ht="15" thickBot="1">
      <c r="B24" s="34"/>
      <c r="C24" s="37"/>
      <c r="D24" s="37"/>
      <c r="E24" s="37"/>
      <c r="F24" s="37"/>
      <c r="G24" s="37"/>
      <c r="H24" s="38"/>
    </row>
    <row r="25" spans="2:8">
      <c r="B25" s="45" t="s">
        <v>46</v>
      </c>
      <c r="C25" s="46">
        <f>C11-C20</f>
        <v>0</v>
      </c>
      <c r="D25" s="46">
        <f>D11-D20</f>
        <v>0</v>
      </c>
      <c r="E25" s="46">
        <f t="shared" ref="E25:H25" si="3">E11-E20</f>
        <v>0</v>
      </c>
      <c r="F25" s="46">
        <f t="shared" si="3"/>
        <v>0</v>
      </c>
      <c r="G25" s="46">
        <f t="shared" si="3"/>
        <v>0</v>
      </c>
      <c r="H25" s="47">
        <f t="shared" si="3"/>
        <v>0</v>
      </c>
    </row>
    <row r="26" spans="2:8">
      <c r="B26" s="112" t="s">
        <v>47</v>
      </c>
      <c r="C26" s="39"/>
      <c r="D26" s="39"/>
      <c r="E26" s="39"/>
      <c r="F26" s="39"/>
      <c r="G26" s="39"/>
      <c r="H26" s="111"/>
    </row>
    <row r="27" spans="2:8">
      <c r="B27" s="34" t="s">
        <v>48</v>
      </c>
      <c r="C27" s="35">
        <f>C25*28%</f>
        <v>0</v>
      </c>
      <c r="D27" s="35">
        <f>D25*28%</f>
        <v>0</v>
      </c>
      <c r="E27" s="35">
        <f>E25*26.5%</f>
        <v>0</v>
      </c>
      <c r="F27" s="35">
        <f>F25*25%</f>
        <v>0</v>
      </c>
      <c r="G27" s="35">
        <f t="shared" ref="G27:H27" si="4">G25*25%</f>
        <v>0</v>
      </c>
      <c r="H27" s="36">
        <f t="shared" si="4"/>
        <v>0</v>
      </c>
    </row>
    <row r="28" spans="2:8">
      <c r="B28" s="110" t="s">
        <v>49</v>
      </c>
      <c r="C28" s="32">
        <f>C25-C27</f>
        <v>0</v>
      </c>
      <c r="D28" s="32">
        <f>D25-D27</f>
        <v>0</v>
      </c>
      <c r="E28" s="32">
        <f t="shared" ref="E28:H28" si="5">E25-E27</f>
        <v>0</v>
      </c>
      <c r="F28" s="32">
        <f t="shared" si="5"/>
        <v>0</v>
      </c>
      <c r="G28" s="32">
        <f t="shared" si="5"/>
        <v>0</v>
      </c>
      <c r="H28" s="33">
        <f t="shared" si="5"/>
        <v>0</v>
      </c>
    </row>
    <row r="29" spans="2:8">
      <c r="B29" s="113" t="s">
        <v>50</v>
      </c>
      <c r="C29" s="114">
        <f>C28+C22</f>
        <v>0</v>
      </c>
      <c r="D29" s="114">
        <f t="shared" ref="D29:H29" si="6">D28+D22</f>
        <v>0</v>
      </c>
      <c r="E29" s="114">
        <f t="shared" si="6"/>
        <v>0</v>
      </c>
      <c r="F29" s="114">
        <f t="shared" si="6"/>
        <v>0</v>
      </c>
      <c r="G29" s="114">
        <f t="shared" si="6"/>
        <v>0</v>
      </c>
      <c r="H29" s="114">
        <f t="shared" si="6"/>
        <v>0</v>
      </c>
    </row>
  </sheetData>
  <mergeCells count="2">
    <mergeCell ref="B2:H2"/>
    <mergeCell ref="B10:H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5"/>
  <sheetViews>
    <sheetView topLeftCell="B1" zoomScale="180" zoomScaleNormal="180" workbookViewId="0">
      <selection activeCell="D12" sqref="D12:H12"/>
    </sheetView>
  </sheetViews>
  <sheetFormatPr defaultColWidth="11.42578125" defaultRowHeight="14.45"/>
  <cols>
    <col min="2" max="2" width="29.140625" customWidth="1"/>
    <col min="3" max="8" width="12.28515625" customWidth="1"/>
  </cols>
  <sheetData>
    <row r="2" spans="2:8" ht="15" thickBot="1">
      <c r="B2" t="s">
        <v>51</v>
      </c>
    </row>
    <row r="3" spans="2:8" ht="15" thickBot="1">
      <c r="B3" s="67" t="s">
        <v>52</v>
      </c>
      <c r="C3" s="50">
        <v>2019</v>
      </c>
      <c r="D3" s="50">
        <f>C3+1</f>
        <v>2020</v>
      </c>
      <c r="E3" s="50">
        <f t="shared" ref="E3:H3" si="0">D3+1</f>
        <v>2021</v>
      </c>
      <c r="F3" s="50">
        <f t="shared" si="0"/>
        <v>2022</v>
      </c>
      <c r="G3" s="50">
        <f t="shared" si="0"/>
        <v>2023</v>
      </c>
      <c r="H3" s="51">
        <f t="shared" si="0"/>
        <v>2024</v>
      </c>
    </row>
    <row r="4" spans="2:8">
      <c r="B4" s="45" t="s">
        <v>53</v>
      </c>
      <c r="C4" s="68"/>
      <c r="D4" s="68"/>
      <c r="E4" s="68"/>
      <c r="F4" s="68"/>
      <c r="G4" s="68"/>
      <c r="H4" s="69"/>
    </row>
    <row r="5" spans="2:8">
      <c r="B5" s="34" t="s">
        <v>54</v>
      </c>
      <c r="C5" s="37"/>
      <c r="D5" s="71"/>
      <c r="E5" s="71"/>
      <c r="F5" s="71"/>
      <c r="G5" s="71"/>
      <c r="H5" s="72"/>
    </row>
    <row r="6" spans="2:8" ht="15" thickBot="1">
      <c r="B6" s="34"/>
      <c r="C6" s="37"/>
      <c r="D6" s="71"/>
      <c r="E6" s="71"/>
      <c r="F6" s="71"/>
      <c r="G6" s="71"/>
      <c r="H6" s="72"/>
    </row>
    <row r="7" spans="2:8">
      <c r="B7" s="45" t="s">
        <v>55</v>
      </c>
      <c r="C7" s="46">
        <f t="shared" ref="C7" si="1">SUM(C8:C12)</f>
        <v>0</v>
      </c>
      <c r="D7" s="46">
        <f>SUM(D8:D12)</f>
        <v>0</v>
      </c>
      <c r="E7" s="46">
        <f t="shared" ref="E7:H7" si="2">SUM(E8:E12)</f>
        <v>0</v>
      </c>
      <c r="F7" s="46">
        <f t="shared" si="2"/>
        <v>0</v>
      </c>
      <c r="G7" s="46">
        <f t="shared" si="2"/>
        <v>0</v>
      </c>
      <c r="H7" s="46">
        <f t="shared" si="2"/>
        <v>0</v>
      </c>
    </row>
    <row r="8" spans="2:8">
      <c r="B8" s="34" t="s">
        <v>56</v>
      </c>
      <c r="C8" s="37"/>
      <c r="D8" s="71"/>
      <c r="E8" s="71"/>
      <c r="F8" s="71"/>
      <c r="G8" s="71"/>
      <c r="H8" s="72"/>
    </row>
    <row r="9" spans="2:8">
      <c r="B9" s="34" t="s">
        <v>57</v>
      </c>
      <c r="C9" s="37"/>
      <c r="D9" s="71"/>
      <c r="E9" s="71"/>
      <c r="F9" s="71"/>
      <c r="G9" s="71"/>
      <c r="H9" s="72"/>
    </row>
    <row r="10" spans="2:8">
      <c r="B10" s="34" t="s">
        <v>58</v>
      </c>
      <c r="C10" s="37"/>
      <c r="D10" s="71"/>
      <c r="E10" s="71"/>
      <c r="F10" s="71"/>
      <c r="G10" s="71"/>
      <c r="H10" s="72"/>
    </row>
    <row r="11" spans="2:8">
      <c r="B11" s="34" t="s">
        <v>59</v>
      </c>
      <c r="C11" s="37"/>
      <c r="D11" s="71"/>
      <c r="E11" s="71"/>
      <c r="F11" s="71"/>
      <c r="G11" s="71"/>
      <c r="H11" s="72"/>
    </row>
    <row r="12" spans="2:8" ht="15" thickBot="1">
      <c r="B12" s="34" t="s">
        <v>60</v>
      </c>
      <c r="C12" s="37"/>
      <c r="D12" s="71"/>
      <c r="E12" s="71"/>
      <c r="F12" s="71"/>
      <c r="G12" s="71"/>
      <c r="H12" s="72"/>
    </row>
    <row r="13" spans="2:8">
      <c r="B13" s="45" t="s">
        <v>61</v>
      </c>
      <c r="C13" s="46">
        <f t="shared" ref="C13" si="3">SUM(C14:C15)</f>
        <v>0</v>
      </c>
      <c r="D13" s="46">
        <f>SUM(D14:D15)</f>
        <v>0</v>
      </c>
      <c r="E13" s="46">
        <f t="shared" ref="E13:H13" si="4">SUM(E14:E15)</f>
        <v>0</v>
      </c>
      <c r="F13" s="46">
        <f t="shared" si="4"/>
        <v>0</v>
      </c>
      <c r="G13" s="46">
        <f t="shared" si="4"/>
        <v>0</v>
      </c>
      <c r="H13" s="46">
        <f t="shared" si="4"/>
        <v>0</v>
      </c>
    </row>
    <row r="14" spans="2:8">
      <c r="B14" s="34" t="s">
        <v>62</v>
      </c>
      <c r="C14" s="37"/>
      <c r="D14" s="71">
        <f>D8*2/3</f>
        <v>0</v>
      </c>
      <c r="E14" s="71">
        <f>E8*2/3</f>
        <v>0</v>
      </c>
      <c r="F14" s="71">
        <f t="shared" ref="F14:H14" si="5">F8*2/3</f>
        <v>0</v>
      </c>
      <c r="G14" s="71">
        <f t="shared" si="5"/>
        <v>0</v>
      </c>
      <c r="H14" s="72">
        <f t="shared" si="5"/>
        <v>0</v>
      </c>
    </row>
    <row r="15" spans="2:8" ht="15" thickBot="1">
      <c r="B15" s="42" t="s">
        <v>63</v>
      </c>
      <c r="C15" s="48"/>
      <c r="D15" s="73">
        <f>D12*2/3</f>
        <v>0</v>
      </c>
      <c r="E15" s="73">
        <f>E12*2/3</f>
        <v>0</v>
      </c>
      <c r="F15" s="73">
        <f t="shared" ref="F15:H15" si="6">F12*2/3</f>
        <v>0</v>
      </c>
      <c r="G15" s="73">
        <f t="shared" si="6"/>
        <v>0</v>
      </c>
      <c r="H15" s="74">
        <f t="shared" si="6"/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46"/>
  <sheetViews>
    <sheetView tabSelected="1" zoomScale="120" zoomScaleNormal="120" workbookViewId="0">
      <selection activeCell="H15" sqref="H15"/>
    </sheetView>
  </sheetViews>
  <sheetFormatPr defaultColWidth="11.42578125" defaultRowHeight="14.45"/>
  <cols>
    <col min="2" max="2" width="46.5703125" customWidth="1"/>
    <col min="3" max="3" width="12.85546875" bestFit="1" customWidth="1"/>
    <col min="4" max="4" width="12.85546875" customWidth="1"/>
    <col min="11" max="11" width="14.28515625" customWidth="1"/>
    <col min="12" max="15" width="14.85546875" customWidth="1"/>
    <col min="16" max="16" width="17.140625" customWidth="1"/>
  </cols>
  <sheetData>
    <row r="1" spans="2:10" ht="15" thickBot="1">
      <c r="J1" t="s">
        <v>64</v>
      </c>
    </row>
    <row r="2" spans="2:10" ht="15" thickBot="1">
      <c r="B2" s="137" t="s">
        <v>65</v>
      </c>
      <c r="C2" s="138"/>
      <c r="D2" s="138"/>
      <c r="E2" s="138"/>
      <c r="F2" s="138"/>
      <c r="G2" s="138"/>
      <c r="H2" s="139"/>
    </row>
    <row r="3" spans="2:10">
      <c r="B3" s="66" t="s">
        <v>66</v>
      </c>
      <c r="C3" s="50">
        <v>2023</v>
      </c>
      <c r="D3" s="50">
        <f>C3+1</f>
        <v>2024</v>
      </c>
      <c r="E3" s="50">
        <f t="shared" ref="E3:H3" si="0">D3+1</f>
        <v>2025</v>
      </c>
      <c r="F3" s="50">
        <f t="shared" si="0"/>
        <v>2026</v>
      </c>
      <c r="G3" s="50">
        <f t="shared" si="0"/>
        <v>2027</v>
      </c>
      <c r="H3" s="51">
        <f t="shared" si="0"/>
        <v>2028</v>
      </c>
    </row>
    <row r="4" spans="2:10">
      <c r="B4" s="52" t="s">
        <v>67</v>
      </c>
      <c r="C4" s="53">
        <f>SUM(C5:C9)</f>
        <v>173076</v>
      </c>
      <c r="D4" s="53">
        <f t="shared" ref="D4:H4" si="1">SUM(D5:D10)</f>
        <v>0</v>
      </c>
      <c r="E4" s="53">
        <f t="shared" si="1"/>
        <v>0</v>
      </c>
      <c r="F4" s="53">
        <f t="shared" si="1"/>
        <v>0</v>
      </c>
      <c r="G4" s="53">
        <f t="shared" si="1"/>
        <v>0</v>
      </c>
      <c r="H4" s="54">
        <f t="shared" si="1"/>
        <v>0</v>
      </c>
    </row>
    <row r="5" spans="2:10" ht="15">
      <c r="B5" s="34" t="s">
        <v>68</v>
      </c>
      <c r="C5" s="35">
        <v>25176</v>
      </c>
      <c r="D5" s="35"/>
      <c r="E5" s="35"/>
      <c r="F5" s="35"/>
      <c r="G5" s="35"/>
      <c r="H5" s="36"/>
    </row>
    <row r="6" spans="2:10" ht="15">
      <c r="B6" s="34" t="s">
        <v>69</v>
      </c>
      <c r="C6" s="35">
        <v>7660</v>
      </c>
      <c r="D6" s="35"/>
      <c r="E6" s="35"/>
      <c r="F6" s="35"/>
      <c r="G6" s="35"/>
      <c r="H6" s="36"/>
    </row>
    <row r="7" spans="2:10" ht="15">
      <c r="B7" s="34" t="s">
        <v>70</v>
      </c>
      <c r="C7" s="35">
        <v>124584</v>
      </c>
      <c r="D7" s="35"/>
      <c r="E7" s="35"/>
      <c r="F7" s="35"/>
      <c r="G7" s="35"/>
      <c r="H7" s="36"/>
    </row>
    <row r="8" spans="2:10" ht="15">
      <c r="B8" s="34" t="s">
        <v>71</v>
      </c>
      <c r="C8" s="35">
        <v>15320</v>
      </c>
      <c r="D8" s="35"/>
      <c r="E8" s="35"/>
      <c r="F8" s="35"/>
      <c r="G8" s="35"/>
      <c r="H8" s="36"/>
    </row>
    <row r="9" spans="2:10" ht="15">
      <c r="B9" s="122" t="s">
        <v>72</v>
      </c>
      <c r="C9" s="123">
        <v>336</v>
      </c>
      <c r="D9" s="123"/>
      <c r="E9" s="123"/>
      <c r="F9" s="123"/>
      <c r="G9" s="123"/>
      <c r="H9" s="124"/>
    </row>
    <row r="10" spans="2:10" ht="15">
      <c r="D10" s="48"/>
      <c r="E10" s="48"/>
      <c r="F10" s="48"/>
      <c r="G10" s="48"/>
      <c r="H10" s="49"/>
    </row>
    <row r="11" spans="2:10" ht="15">
      <c r="B11" s="140" t="s">
        <v>34</v>
      </c>
      <c r="C11" s="141"/>
      <c r="D11" s="141"/>
      <c r="E11" s="141"/>
      <c r="F11" s="141"/>
      <c r="G11" s="141"/>
      <c r="H11" s="142"/>
    </row>
    <row r="12" spans="2:10" ht="15">
      <c r="B12" s="45" t="s">
        <v>35</v>
      </c>
      <c r="C12" s="46"/>
      <c r="D12" s="46">
        <f>SUM(D13:D16)</f>
        <v>72365.25</v>
      </c>
      <c r="E12" s="46">
        <f t="shared" ref="E12:H12" si="2">SUM(E13:E16)</f>
        <v>90456.5625</v>
      </c>
      <c r="F12" s="46">
        <f t="shared" si="2"/>
        <v>94979.390625</v>
      </c>
      <c r="G12" s="46">
        <f t="shared" si="2"/>
        <v>96110.09765625</v>
      </c>
      <c r="H12" s="47">
        <f t="shared" si="2"/>
        <v>96392.7744140625</v>
      </c>
    </row>
    <row r="13" spans="2:10">
      <c r="B13" s="34" t="s">
        <v>73</v>
      </c>
      <c r="C13" s="35"/>
      <c r="D13" s="35"/>
      <c r="E13" s="35"/>
      <c r="F13" s="35"/>
      <c r="G13" s="35"/>
      <c r="H13" s="36"/>
    </row>
    <row r="14" spans="2:10">
      <c r="B14" s="34" t="s">
        <v>74</v>
      </c>
      <c r="C14" s="35"/>
      <c r="D14" s="35">
        <f>C39*0.25</f>
        <v>72365.25</v>
      </c>
      <c r="E14" s="35">
        <f>($C$39+D14)*0.25</f>
        <v>90456.5625</v>
      </c>
      <c r="F14" s="35">
        <f t="shared" ref="F14:H14" si="3">($C$39+E14)*0.25</f>
        <v>94979.390625</v>
      </c>
      <c r="G14" s="35">
        <f t="shared" si="3"/>
        <v>96110.09765625</v>
      </c>
      <c r="H14" s="35">
        <f t="shared" si="3"/>
        <v>96392.7744140625</v>
      </c>
    </row>
    <row r="15" spans="2:10">
      <c r="B15" s="34" t="s">
        <v>75</v>
      </c>
      <c r="C15" s="35"/>
      <c r="D15" s="35"/>
      <c r="E15" s="35"/>
      <c r="F15" s="35"/>
      <c r="G15" s="35"/>
      <c r="H15" s="36"/>
    </row>
    <row r="16" spans="2:10">
      <c r="B16" s="34" t="s">
        <v>76</v>
      </c>
      <c r="C16" s="35"/>
      <c r="D16" s="35"/>
      <c r="E16" s="35"/>
      <c r="F16" s="35"/>
      <c r="G16" s="35"/>
      <c r="H16" s="36"/>
    </row>
    <row r="17" spans="2:18" ht="15" thickBot="1">
      <c r="B17" s="34"/>
      <c r="C17" s="37"/>
      <c r="D17" s="37"/>
      <c r="E17" s="37"/>
      <c r="F17" s="37"/>
      <c r="G17" s="37"/>
      <c r="H17" s="38"/>
    </row>
    <row r="18" spans="2:18">
      <c r="B18" s="45" t="s">
        <v>43</v>
      </c>
      <c r="C18" s="46">
        <f>SUM(C19:C23)</f>
        <v>3600</v>
      </c>
      <c r="D18" s="46">
        <f t="shared" ref="D18:H18" si="4">SUM(D19:D23)</f>
        <v>45215.200000000004</v>
      </c>
      <c r="E18" s="46">
        <f t="shared" si="4"/>
        <v>45215.200000000004</v>
      </c>
      <c r="F18" s="46">
        <f t="shared" si="4"/>
        <v>45215.200000000004</v>
      </c>
      <c r="G18" s="46">
        <f t="shared" si="4"/>
        <v>45215.200000000004</v>
      </c>
      <c r="H18" s="47">
        <f t="shared" si="4"/>
        <v>45215.200000000004</v>
      </c>
    </row>
    <row r="19" spans="2:18">
      <c r="B19" s="34" t="s">
        <v>77</v>
      </c>
      <c r="C19" s="35"/>
      <c r="D19" s="35">
        <v>2000</v>
      </c>
      <c r="E19" s="35">
        <v>2000</v>
      </c>
      <c r="F19" s="35">
        <v>2000</v>
      </c>
      <c r="G19" s="35">
        <v>2000</v>
      </c>
      <c r="H19" s="35">
        <v>2000</v>
      </c>
    </row>
    <row r="20" spans="2:18">
      <c r="B20" s="34" t="s">
        <v>78</v>
      </c>
      <c r="C20" s="35"/>
      <c r="D20" s="35">
        <f>$C$4*20%</f>
        <v>34615.200000000004</v>
      </c>
      <c r="E20" s="35">
        <f t="shared" ref="E20:H20" si="5">$C$4*20%</f>
        <v>34615.200000000004</v>
      </c>
      <c r="F20" s="35">
        <f t="shared" si="5"/>
        <v>34615.200000000004</v>
      </c>
      <c r="G20" s="35">
        <f t="shared" si="5"/>
        <v>34615.200000000004</v>
      </c>
      <c r="H20" s="35">
        <f t="shared" si="5"/>
        <v>34615.200000000004</v>
      </c>
    </row>
    <row r="21" spans="2:18" ht="15">
      <c r="B21" s="34" t="s">
        <v>79</v>
      </c>
      <c r="C21" s="37">
        <f>75*4*12</f>
        <v>3600</v>
      </c>
      <c r="D21" s="37">
        <f t="shared" ref="D21:H21" si="6">75*4*12</f>
        <v>3600</v>
      </c>
      <c r="E21" s="37">
        <f t="shared" si="6"/>
        <v>3600</v>
      </c>
      <c r="F21" s="37">
        <f t="shared" si="6"/>
        <v>3600</v>
      </c>
      <c r="G21" s="37">
        <f t="shared" si="6"/>
        <v>3600</v>
      </c>
      <c r="H21" s="37">
        <f t="shared" si="6"/>
        <v>3600</v>
      </c>
    </row>
    <row r="22" spans="2:18" ht="15">
      <c r="B22" s="34" t="s">
        <v>80</v>
      </c>
      <c r="C22" s="37"/>
      <c r="D22" s="37">
        <v>5000</v>
      </c>
      <c r="E22" s="37">
        <v>5000</v>
      </c>
      <c r="F22" s="37">
        <v>5000</v>
      </c>
      <c r="G22" s="37">
        <v>5000</v>
      </c>
      <c r="H22" s="37">
        <v>5000</v>
      </c>
    </row>
    <row r="23" spans="2:18" ht="16.5" customHeight="1">
      <c r="B23" s="34"/>
      <c r="C23" s="37"/>
      <c r="D23" s="37"/>
      <c r="E23" s="37"/>
      <c r="F23" s="37"/>
      <c r="G23" s="37"/>
      <c r="H23" s="38"/>
    </row>
    <row r="24" spans="2:18" ht="16.5" customHeight="1">
      <c r="B24" s="45" t="s">
        <v>46</v>
      </c>
      <c r="C24" s="46">
        <f>C12-C18</f>
        <v>-3600</v>
      </c>
      <c r="D24" s="46">
        <f t="shared" ref="D24:H24" si="7">D12-D18</f>
        <v>27150.049999999996</v>
      </c>
      <c r="E24" s="46">
        <f t="shared" si="7"/>
        <v>45241.362499999996</v>
      </c>
      <c r="F24" s="46">
        <f t="shared" si="7"/>
        <v>49764.190624999996</v>
      </c>
      <c r="G24" s="46">
        <f t="shared" si="7"/>
        <v>50894.897656249996</v>
      </c>
      <c r="H24" s="47">
        <f t="shared" si="7"/>
        <v>51177.574414062496</v>
      </c>
    </row>
    <row r="25" spans="2:18" ht="16.5" customHeight="1">
      <c r="B25" s="121" t="s">
        <v>81</v>
      </c>
      <c r="C25" s="39"/>
      <c r="D25" s="39"/>
      <c r="E25" s="39"/>
      <c r="F25" s="39"/>
      <c r="G25" s="39"/>
      <c r="H25" s="111"/>
    </row>
    <row r="26" spans="2:18" ht="16.5" customHeight="1">
      <c r="B26" s="34" t="s">
        <v>82</v>
      </c>
      <c r="C26" s="35">
        <f>C24*25%</f>
        <v>-900</v>
      </c>
      <c r="D26" s="35">
        <f>D24*28%</f>
        <v>7602.0139999999992</v>
      </c>
      <c r="E26" s="35">
        <f>E24*26.5%</f>
        <v>11988.961062499999</v>
      </c>
      <c r="F26" s="35">
        <f>F24*25%</f>
        <v>12441.047656249999</v>
      </c>
      <c r="G26" s="35">
        <f t="shared" ref="G26:H26" si="8">G24*25%</f>
        <v>12723.724414062499</v>
      </c>
      <c r="H26" s="36">
        <f t="shared" si="8"/>
        <v>12794.393603515624</v>
      </c>
      <c r="K26" s="14" t="s">
        <v>83</v>
      </c>
      <c r="L26" s="15">
        <f>-C29</f>
        <v>175776</v>
      </c>
      <c r="M26" s="15">
        <f>-C31</f>
        <v>175776</v>
      </c>
      <c r="N26" s="16"/>
      <c r="O26" s="16"/>
      <c r="P26" s="16"/>
    </row>
    <row r="27" spans="2:18" ht="16.5" customHeight="1">
      <c r="B27" s="34" t="s">
        <v>49</v>
      </c>
      <c r="C27" s="32">
        <f>C24-C26</f>
        <v>-2700</v>
      </c>
      <c r="D27" s="32">
        <f t="shared" ref="D27:H27" si="9">D24-D26</f>
        <v>19548.035999999996</v>
      </c>
      <c r="E27" s="32">
        <f t="shared" si="9"/>
        <v>33252.401437499997</v>
      </c>
      <c r="F27" s="32">
        <f t="shared" si="9"/>
        <v>37323.142968749999</v>
      </c>
      <c r="G27" s="32">
        <f t="shared" si="9"/>
        <v>38171.173242187499</v>
      </c>
      <c r="H27" s="32">
        <f t="shared" si="9"/>
        <v>38383.180810546874</v>
      </c>
      <c r="K27" s="17" t="str">
        <f>IF(L26&gt;N34,"Attention !!! Projet non rentable","")</f>
        <v/>
      </c>
      <c r="L27" s="143" t="s">
        <v>84</v>
      </c>
      <c r="M27" s="145" t="s">
        <v>85</v>
      </c>
      <c r="N27" s="145" t="s">
        <v>86</v>
      </c>
      <c r="O27" s="145" t="s">
        <v>87</v>
      </c>
    </row>
    <row r="28" spans="2:18" ht="16.5" customHeight="1">
      <c r="B28" s="55" t="s">
        <v>88</v>
      </c>
      <c r="C28" s="56">
        <v>0</v>
      </c>
      <c r="D28" s="56">
        <v>1</v>
      </c>
      <c r="E28" s="56">
        <v>2</v>
      </c>
      <c r="F28" s="56">
        <v>3</v>
      </c>
      <c r="G28" s="56">
        <v>4</v>
      </c>
      <c r="H28" s="57">
        <v>5</v>
      </c>
      <c r="K28" s="18" t="s">
        <v>89</v>
      </c>
      <c r="L28" s="144"/>
      <c r="M28" s="144"/>
      <c r="N28" s="144"/>
      <c r="O28" s="144"/>
      <c r="P28" s="26" t="s">
        <v>90</v>
      </c>
      <c r="Q28" s="27">
        <f>LOOKUP(L26,N29:N34)</f>
        <v>122030.83743750001</v>
      </c>
      <c r="R28" s="27">
        <f>LOOKUP(M26,O29:O34)</f>
        <v>122030.83743750001</v>
      </c>
    </row>
    <row r="29" spans="2:18" ht="16.5" customHeight="1">
      <c r="B29" s="34" t="s">
        <v>91</v>
      </c>
      <c r="C29" s="32">
        <f>C27+C20-C4</f>
        <v>-175776</v>
      </c>
      <c r="D29" s="32">
        <f>D27+D20-D4</f>
        <v>54163.236000000004</v>
      </c>
      <c r="E29" s="32">
        <f>E27+E20-E4</f>
        <v>67867.601437500009</v>
      </c>
      <c r="F29" s="32">
        <f>F27+F20-F4</f>
        <v>71938.342968750003</v>
      </c>
      <c r="G29" s="32">
        <f>G27+G20-G4</f>
        <v>72786.373242187503</v>
      </c>
      <c r="H29" s="33">
        <f>H27+H20-H4</f>
        <v>72998.380810546878</v>
      </c>
      <c r="K29" s="20">
        <f>C28</f>
        <v>0</v>
      </c>
      <c r="L29" s="21">
        <v>0</v>
      </c>
      <c r="M29" s="21"/>
      <c r="N29" s="21">
        <v>0</v>
      </c>
      <c r="O29" s="21">
        <v>0</v>
      </c>
      <c r="P29" s="16" t="s">
        <v>92</v>
      </c>
      <c r="Q29" s="28">
        <f>LOOKUP(L26,N29:N34,K29:K34)</f>
        <v>2</v>
      </c>
      <c r="R29" s="28">
        <f>LOOKUP(M26,O29:O34,K29:K34)</f>
        <v>2</v>
      </c>
    </row>
    <row r="30" spans="2:18" ht="16.5" customHeight="1">
      <c r="B30" s="34" t="s">
        <v>93</v>
      </c>
      <c r="C30" s="39"/>
      <c r="D30" s="37"/>
      <c r="E30" s="37"/>
      <c r="F30" s="37"/>
      <c r="G30" s="37"/>
      <c r="H30" s="38"/>
      <c r="K30" s="20">
        <f>D28</f>
        <v>1</v>
      </c>
      <c r="L30" s="15">
        <f>D29</f>
        <v>54163.236000000004</v>
      </c>
      <c r="M30" s="15">
        <f>D31</f>
        <v>54163.236000000004</v>
      </c>
      <c r="N30" s="24">
        <f>L30</f>
        <v>54163.236000000004</v>
      </c>
      <c r="O30" s="24">
        <f>M30</f>
        <v>54163.236000000004</v>
      </c>
      <c r="P30" s="16" t="s">
        <v>94</v>
      </c>
      <c r="Q30" s="28">
        <f>Q29+1</f>
        <v>3</v>
      </c>
      <c r="R30" s="28">
        <f>R29+1</f>
        <v>3</v>
      </c>
    </row>
    <row r="31" spans="2:18" ht="16.5" customHeight="1">
      <c r="B31" s="34" t="s">
        <v>85</v>
      </c>
      <c r="C31" s="40">
        <f>C29/POWER(1+$C$30,C28)</f>
        <v>-175776</v>
      </c>
      <c r="D31" s="40">
        <f>D29/POWER(1+$C$30,D28)</f>
        <v>54163.236000000004</v>
      </c>
      <c r="E31" s="40">
        <f t="shared" ref="E31:H31" si="10">E29/POWER(1+$C$30,E28)</f>
        <v>67867.601437500009</v>
      </c>
      <c r="F31" s="40">
        <f t="shared" si="10"/>
        <v>71938.342968750003</v>
      </c>
      <c r="G31" s="40">
        <f t="shared" si="10"/>
        <v>72786.373242187503</v>
      </c>
      <c r="H31" s="41">
        <f t="shared" si="10"/>
        <v>72998.380810546878</v>
      </c>
      <c r="K31" s="20">
        <f>E28</f>
        <v>2</v>
      </c>
      <c r="L31" s="15">
        <f>E29</f>
        <v>67867.601437500009</v>
      </c>
      <c r="M31" s="15">
        <f>E31</f>
        <v>67867.601437500009</v>
      </c>
      <c r="N31" s="24">
        <f>N30+L31</f>
        <v>122030.83743750001</v>
      </c>
      <c r="O31" s="24">
        <f>O30+M31</f>
        <v>122030.83743750001</v>
      </c>
      <c r="P31" s="19" t="s">
        <v>95</v>
      </c>
      <c r="Q31" s="28">
        <f>LOOKUP(Q30,K29:K34,N29:N34)</f>
        <v>193969.18040625</v>
      </c>
      <c r="R31" s="28">
        <f>LOOKUP(R30,K29:K34,O29:O34)</f>
        <v>193969.18040625</v>
      </c>
    </row>
    <row r="32" spans="2:18" ht="16.5" customHeight="1">
      <c r="B32" s="34" t="s">
        <v>96</v>
      </c>
      <c r="C32" s="40">
        <f>C29</f>
        <v>-175776</v>
      </c>
      <c r="D32" s="40">
        <f>C32+D29</f>
        <v>-121612.764</v>
      </c>
      <c r="E32" s="40">
        <f t="shared" ref="E32:H32" si="11">D32+E29</f>
        <v>-53745.162562499987</v>
      </c>
      <c r="F32" s="40">
        <f t="shared" si="11"/>
        <v>18193.180406250016</v>
      </c>
      <c r="G32" s="40">
        <f t="shared" si="11"/>
        <v>90979.553648437519</v>
      </c>
      <c r="H32" s="41">
        <f t="shared" si="11"/>
        <v>163977.93445898441</v>
      </c>
      <c r="K32" s="20">
        <f>F28</f>
        <v>3</v>
      </c>
      <c r="L32" s="15">
        <f>F29</f>
        <v>71938.342968750003</v>
      </c>
      <c r="M32" s="15">
        <f>F31</f>
        <v>71938.342968750003</v>
      </c>
      <c r="N32" s="24">
        <f t="shared" ref="N31:O34" si="12">N31+L32</f>
        <v>193969.18040625</v>
      </c>
      <c r="O32" s="24">
        <f>O31+M32</f>
        <v>193969.18040625</v>
      </c>
      <c r="P32" s="16" t="s">
        <v>97</v>
      </c>
      <c r="Q32" s="28">
        <f>Q31-Q28</f>
        <v>71938.342968749988</v>
      </c>
      <c r="R32" s="28">
        <f>R31-R28</f>
        <v>71938.342968749988</v>
      </c>
    </row>
    <row r="33" spans="2:18" ht="16.5" customHeight="1" thickBot="1">
      <c r="B33" s="42" t="s">
        <v>98</v>
      </c>
      <c r="C33" s="43">
        <f>C32</f>
        <v>-175776</v>
      </c>
      <c r="D33" s="43">
        <f>C33+D31</f>
        <v>-121612.764</v>
      </c>
      <c r="E33" s="43">
        <f t="shared" ref="E33:H33" si="13">D33+E31</f>
        <v>-53745.162562499987</v>
      </c>
      <c r="F33" s="43">
        <f t="shared" si="13"/>
        <v>18193.180406250016</v>
      </c>
      <c r="G33" s="43">
        <f t="shared" si="13"/>
        <v>90979.553648437519</v>
      </c>
      <c r="H33" s="44">
        <f t="shared" si="13"/>
        <v>163977.93445898441</v>
      </c>
      <c r="K33" s="20">
        <f>G28</f>
        <v>4</v>
      </c>
      <c r="L33" s="15">
        <f>G29</f>
        <v>72786.373242187503</v>
      </c>
      <c r="M33" s="15">
        <f>G31</f>
        <v>72786.373242187503</v>
      </c>
      <c r="N33" s="24">
        <f t="shared" si="12"/>
        <v>266755.55364843749</v>
      </c>
      <c r="O33" s="24">
        <f t="shared" si="12"/>
        <v>266755.55364843749</v>
      </c>
      <c r="P33" s="22"/>
    </row>
    <row r="34" spans="2:18" ht="16.5" customHeight="1">
      <c r="B34" s="58" t="s">
        <v>99</v>
      </c>
      <c r="C34" s="60">
        <f>IRR(C29:H29)</f>
        <v>0.25408414662457735</v>
      </c>
      <c r="D34" s="59"/>
      <c r="K34" s="20">
        <f>H28</f>
        <v>5</v>
      </c>
      <c r="L34" s="15">
        <f>H29</f>
        <v>72998.380810546878</v>
      </c>
      <c r="M34" s="15">
        <f>H31</f>
        <v>72998.380810546878</v>
      </c>
      <c r="N34" s="24">
        <f>N33+L34</f>
        <v>339753.93445898435</v>
      </c>
      <c r="O34" s="24">
        <f>O33+M34</f>
        <v>339753.93445898435</v>
      </c>
      <c r="P34" s="22"/>
      <c r="Q34" s="16"/>
      <c r="R34" s="16"/>
    </row>
    <row r="35" spans="2:18" ht="16.5" customHeight="1">
      <c r="B35" s="29" t="s">
        <v>100</v>
      </c>
      <c r="C35" s="61">
        <f>IRR(C31:H31)</f>
        <v>0.25408414662457735</v>
      </c>
      <c r="D35" s="30"/>
      <c r="K35" s="25"/>
      <c r="L35" s="16"/>
      <c r="M35" s="16"/>
      <c r="O35" s="16"/>
      <c r="P35" s="16"/>
      <c r="Q35" s="16"/>
      <c r="R35" s="16"/>
    </row>
    <row r="36" spans="2:18" ht="16.5" customHeight="1">
      <c r="B36" s="29" t="s">
        <v>101</v>
      </c>
      <c r="C36" s="62">
        <f>IF(OR($L$26&gt;$N$34,$L$26=0),"",$Q$29)</f>
        <v>2</v>
      </c>
      <c r="D36" s="63">
        <f>IF(OR($L$26&gt;=$N$34,$L$26=0),"",(($L$26-$Q$28)/$Q$32)*12)</f>
        <v>8.9652044255476184</v>
      </c>
      <c r="N36" s="16"/>
      <c r="O36" s="16"/>
      <c r="P36" s="16"/>
      <c r="Q36" s="16"/>
      <c r="R36" s="19"/>
    </row>
    <row r="37" spans="2:18" ht="16.5" customHeight="1" thickBot="1">
      <c r="B37" s="31" t="s">
        <v>102</v>
      </c>
      <c r="C37" s="64">
        <f>IF(OR($M$26&gt;$O$34,$M$26=0),"",$R$29)</f>
        <v>2</v>
      </c>
      <c r="D37" s="65">
        <f>IF(OR($M$26&gt;=$O$34,$M$26=0),"",(($M$26-$R$28)/$R$32)*12)</f>
        <v>8.9652044255476184</v>
      </c>
      <c r="N37" s="16"/>
      <c r="O37" s="16"/>
      <c r="P37" s="16"/>
      <c r="Q37" s="16"/>
    </row>
    <row r="38" spans="2:18">
      <c r="P38" s="23"/>
    </row>
    <row r="39" spans="2:18" ht="15">
      <c r="B39" t="s">
        <v>103</v>
      </c>
      <c r="C39" s="28">
        <v>289461</v>
      </c>
      <c r="P39" s="23"/>
    </row>
    <row r="40" spans="2:18">
      <c r="P40" s="23"/>
    </row>
    <row r="41" spans="2:18">
      <c r="P41" s="23"/>
    </row>
    <row r="42" spans="2:18">
      <c r="P42" s="23"/>
      <c r="Q42" s="16"/>
      <c r="R42" s="16"/>
    </row>
    <row r="43" spans="2:18">
      <c r="P43" s="16"/>
      <c r="Q43" s="16"/>
      <c r="R43" s="16"/>
    </row>
    <row r="44" spans="2:18">
      <c r="P44" s="16"/>
      <c r="Q44" s="16"/>
      <c r="R44" s="16"/>
    </row>
    <row r="45" spans="2:18">
      <c r="P45" s="16"/>
      <c r="Q45" s="16"/>
      <c r="R45" s="16"/>
    </row>
    <row r="46" spans="2:18" ht="15"/>
  </sheetData>
  <mergeCells count="6">
    <mergeCell ref="L27:L28"/>
    <mergeCell ref="M27:M28"/>
    <mergeCell ref="N27:N28"/>
    <mergeCell ref="O27:O28"/>
    <mergeCell ref="B2:H2"/>
    <mergeCell ref="B11:H1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53ED-D699-4F77-B34C-5E16F9605971}">
  <dimension ref="A1:G35"/>
  <sheetViews>
    <sheetView topLeftCell="A13" workbookViewId="0">
      <selection activeCell="B30" sqref="B30"/>
    </sheetView>
  </sheetViews>
  <sheetFormatPr defaultRowHeight="15"/>
  <cols>
    <col min="1" max="1" width="46.5703125" customWidth="1"/>
    <col min="2" max="2" width="12.85546875" bestFit="1" customWidth="1"/>
    <col min="3" max="3" width="12.85546875" customWidth="1"/>
    <col min="4" max="7" width="11.42578125"/>
  </cols>
  <sheetData>
    <row r="1" spans="1:7">
      <c r="A1" s="137" t="s">
        <v>65</v>
      </c>
      <c r="B1" s="138"/>
      <c r="C1" s="138"/>
      <c r="D1" s="138"/>
      <c r="E1" s="138"/>
      <c r="F1" s="138"/>
      <c r="G1" s="139"/>
    </row>
    <row r="2" spans="1:7">
      <c r="A2" s="66" t="s">
        <v>66</v>
      </c>
      <c r="B2" s="50">
        <v>2023</v>
      </c>
      <c r="C2" s="50">
        <f>B2+1</f>
        <v>2024</v>
      </c>
      <c r="D2" s="50">
        <f t="shared" ref="D2:G2" si="0">C2+1</f>
        <v>2025</v>
      </c>
      <c r="E2" s="50">
        <f t="shared" si="0"/>
        <v>2026</v>
      </c>
      <c r="F2" s="50">
        <f t="shared" si="0"/>
        <v>2027</v>
      </c>
      <c r="G2" s="51">
        <f t="shared" si="0"/>
        <v>2028</v>
      </c>
    </row>
    <row r="3" spans="1:7">
      <c r="A3" s="52" t="s">
        <v>67</v>
      </c>
      <c r="B3" s="53">
        <f>SUM(B4:B7)</f>
        <v>171300</v>
      </c>
      <c r="C3" s="53">
        <f t="shared" ref="C3:G3" si="1">SUM(C4:C8)</f>
        <v>0</v>
      </c>
      <c r="D3" s="53">
        <f t="shared" si="1"/>
        <v>0</v>
      </c>
      <c r="E3" s="53">
        <f t="shared" si="1"/>
        <v>0</v>
      </c>
      <c r="F3" s="53">
        <f t="shared" si="1"/>
        <v>0</v>
      </c>
      <c r="G3" s="54">
        <f t="shared" si="1"/>
        <v>0</v>
      </c>
    </row>
    <row r="4" spans="1:7">
      <c r="A4" s="34" t="s">
        <v>68</v>
      </c>
      <c r="B4" s="35">
        <v>25176</v>
      </c>
      <c r="C4" s="35"/>
      <c r="D4" s="35"/>
      <c r="E4" s="35"/>
      <c r="F4" s="35"/>
      <c r="G4" s="36"/>
    </row>
    <row r="5" spans="1:7">
      <c r="A5" s="34" t="s">
        <v>69</v>
      </c>
      <c r="B5" s="35">
        <f>B7/2</f>
        <v>7180</v>
      </c>
      <c r="C5" s="35"/>
      <c r="D5" s="35"/>
      <c r="E5" s="35"/>
      <c r="F5" s="35"/>
      <c r="G5" s="36"/>
    </row>
    <row r="6" spans="1:7">
      <c r="A6" s="34" t="s">
        <v>70</v>
      </c>
      <c r="B6" s="35">
        <v>124584</v>
      </c>
      <c r="C6" s="35"/>
      <c r="D6" s="35"/>
      <c r="E6" s="35"/>
      <c r="F6" s="35"/>
      <c r="G6" s="36"/>
    </row>
    <row r="7" spans="1:7">
      <c r="A7" s="122" t="s">
        <v>71</v>
      </c>
      <c r="B7" s="123">
        <v>14360</v>
      </c>
      <c r="C7" s="123"/>
      <c r="D7" s="123"/>
      <c r="E7" s="123"/>
      <c r="F7" s="123"/>
      <c r="G7" s="124"/>
    </row>
    <row r="8" spans="1:7">
      <c r="C8" s="48"/>
      <c r="D8" s="48"/>
      <c r="E8" s="48"/>
      <c r="F8" s="48"/>
      <c r="G8" s="49"/>
    </row>
    <row r="9" spans="1:7">
      <c r="A9" s="146" t="s">
        <v>104</v>
      </c>
      <c r="B9" s="141"/>
      <c r="C9" s="141"/>
      <c r="D9" s="141"/>
      <c r="E9" s="141"/>
      <c r="F9" s="141"/>
      <c r="G9" s="142"/>
    </row>
    <row r="10" spans="1:7">
      <c r="A10" s="45" t="s">
        <v>105</v>
      </c>
      <c r="B10" s="46"/>
      <c r="C10" s="46">
        <f>SUM(C11:C14)</f>
        <v>361827</v>
      </c>
      <c r="D10" s="46">
        <f t="shared" ref="D10:G10" si="2">SUM(D11:D14)</f>
        <v>452283.75</v>
      </c>
      <c r="E10" s="46">
        <f t="shared" si="2"/>
        <v>565354.6875</v>
      </c>
      <c r="F10" s="46">
        <f t="shared" si="2"/>
        <v>706693.359375</v>
      </c>
      <c r="G10" s="47">
        <f t="shared" si="2"/>
        <v>883366.69921875</v>
      </c>
    </row>
    <row r="11" spans="1:7">
      <c r="A11" s="34" t="s">
        <v>73</v>
      </c>
      <c r="B11" s="35"/>
      <c r="C11" s="35"/>
      <c r="D11" s="35"/>
      <c r="E11" s="35"/>
      <c r="F11" s="35"/>
      <c r="G11" s="36"/>
    </row>
    <row r="12" spans="1:7">
      <c r="A12" s="34" t="s">
        <v>106</v>
      </c>
      <c r="B12" s="35"/>
      <c r="C12" s="35">
        <f>289461.6*1.25</f>
        <v>361827</v>
      </c>
      <c r="D12" s="35">
        <f>C12*1.25</f>
        <v>452283.75</v>
      </c>
      <c r="E12" s="35">
        <f t="shared" ref="E12:G12" si="3">D12*1.25</f>
        <v>565354.6875</v>
      </c>
      <c r="F12" s="35">
        <f t="shared" si="3"/>
        <v>706693.359375</v>
      </c>
      <c r="G12" s="35">
        <f t="shared" si="3"/>
        <v>883366.69921875</v>
      </c>
    </row>
    <row r="13" spans="1:7">
      <c r="A13" s="34" t="s">
        <v>75</v>
      </c>
      <c r="B13" s="35"/>
      <c r="C13" s="35"/>
      <c r="D13" s="35"/>
      <c r="E13" s="35"/>
      <c r="F13" s="35"/>
      <c r="G13" s="36"/>
    </row>
    <row r="14" spans="1:7">
      <c r="A14" s="34" t="s">
        <v>76</v>
      </c>
      <c r="B14" s="35"/>
      <c r="C14" s="35"/>
      <c r="D14" s="35"/>
      <c r="E14" s="35"/>
      <c r="F14" s="35"/>
      <c r="G14" s="36"/>
    </row>
    <row r="15" spans="1:7">
      <c r="A15" s="34"/>
      <c r="B15" s="37"/>
      <c r="C15" s="37"/>
      <c r="D15" s="37"/>
      <c r="E15" s="37"/>
      <c r="F15" s="37"/>
      <c r="G15" s="38"/>
    </row>
    <row r="16" spans="1:7">
      <c r="A16" s="45" t="s">
        <v>107</v>
      </c>
      <c r="B16" s="46">
        <f>SUM(B17:B21)</f>
        <v>3600</v>
      </c>
      <c r="C16" s="46">
        <f t="shared" ref="C16:G16" si="4">SUM(C17:C21)</f>
        <v>10600</v>
      </c>
      <c r="D16" s="46">
        <f t="shared" si="4"/>
        <v>10600</v>
      </c>
      <c r="E16" s="46">
        <f t="shared" si="4"/>
        <v>10600</v>
      </c>
      <c r="F16" s="46">
        <f t="shared" si="4"/>
        <v>10600</v>
      </c>
      <c r="G16" s="47">
        <f t="shared" si="4"/>
        <v>10600</v>
      </c>
    </row>
    <row r="17" spans="1:7">
      <c r="A17" s="34" t="s">
        <v>77</v>
      </c>
      <c r="B17" s="35"/>
      <c r="C17" s="35">
        <v>2000</v>
      </c>
      <c r="D17" s="35">
        <v>2000</v>
      </c>
      <c r="E17" s="35">
        <v>2000</v>
      </c>
      <c r="F17" s="35">
        <v>2000</v>
      </c>
      <c r="G17" s="35">
        <v>2000</v>
      </c>
    </row>
    <row r="18" spans="1:7">
      <c r="A18" s="34" t="s">
        <v>78</v>
      </c>
      <c r="B18" s="35"/>
      <c r="C18" s="35">
        <f>$C$4*20%</f>
        <v>0</v>
      </c>
      <c r="D18" s="35">
        <f t="shared" ref="D18:G18" si="5">$C$4*20%</f>
        <v>0</v>
      </c>
      <c r="E18" s="35">
        <f t="shared" si="5"/>
        <v>0</v>
      </c>
      <c r="F18" s="35">
        <f t="shared" si="5"/>
        <v>0</v>
      </c>
      <c r="G18" s="35">
        <f t="shared" si="5"/>
        <v>0</v>
      </c>
    </row>
    <row r="19" spans="1:7">
      <c r="A19" s="34" t="s">
        <v>79</v>
      </c>
      <c r="B19" s="37">
        <f>75*4*12</f>
        <v>3600</v>
      </c>
      <c r="C19" s="37">
        <f t="shared" ref="C19:G19" si="6">75*4*12</f>
        <v>3600</v>
      </c>
      <c r="D19" s="37">
        <f t="shared" si="6"/>
        <v>3600</v>
      </c>
      <c r="E19" s="37">
        <f t="shared" si="6"/>
        <v>3600</v>
      </c>
      <c r="F19" s="37">
        <f t="shared" si="6"/>
        <v>3600</v>
      </c>
      <c r="G19" s="37">
        <f t="shared" si="6"/>
        <v>3600</v>
      </c>
    </row>
    <row r="20" spans="1:7">
      <c r="A20" s="34" t="s">
        <v>80</v>
      </c>
      <c r="B20" s="37"/>
      <c r="C20" s="37">
        <v>5000</v>
      </c>
      <c r="D20" s="37">
        <v>5000</v>
      </c>
      <c r="E20" s="37">
        <v>5000</v>
      </c>
      <c r="F20" s="37">
        <v>5000</v>
      </c>
      <c r="G20" s="37">
        <v>5000</v>
      </c>
    </row>
    <row r="21" spans="1:7">
      <c r="A21" s="34"/>
      <c r="B21" s="37"/>
      <c r="C21" s="37"/>
      <c r="D21" s="37"/>
      <c r="E21" s="37"/>
      <c r="F21" s="37"/>
      <c r="G21" s="38"/>
    </row>
    <row r="22" spans="1:7">
      <c r="A22" s="45" t="s">
        <v>108</v>
      </c>
      <c r="B22" s="46">
        <f>B10-B16</f>
        <v>-3600</v>
      </c>
      <c r="C22" s="46">
        <f t="shared" ref="C22:G22" si="7">C10-C16</f>
        <v>351227</v>
      </c>
      <c r="D22" s="46">
        <f t="shared" si="7"/>
        <v>441683.75</v>
      </c>
      <c r="E22" s="46">
        <f t="shared" si="7"/>
        <v>554754.6875</v>
      </c>
      <c r="F22" s="46">
        <f t="shared" si="7"/>
        <v>696093.359375</v>
      </c>
      <c r="G22" s="47">
        <f t="shared" si="7"/>
        <v>872766.69921875</v>
      </c>
    </row>
    <row r="23" spans="1:7">
      <c r="A23" s="121" t="s">
        <v>109</v>
      </c>
      <c r="B23" s="39"/>
      <c r="C23" s="39"/>
      <c r="D23" s="39"/>
      <c r="E23" s="39"/>
      <c r="F23" s="39"/>
      <c r="G23" s="111"/>
    </row>
    <row r="24" spans="1:7">
      <c r="A24" s="34" t="s">
        <v>110</v>
      </c>
      <c r="B24" s="35">
        <f>B22*25%</f>
        <v>-900</v>
      </c>
      <c r="C24" s="35">
        <f>C22*28%</f>
        <v>98343.560000000012</v>
      </c>
      <c r="D24" s="35">
        <f>D22*26.5%</f>
        <v>117046.19375000001</v>
      </c>
      <c r="E24" s="35">
        <f>E22*25%</f>
        <v>138688.671875</v>
      </c>
      <c r="F24" s="35">
        <f t="shared" ref="F24:G24" si="8">F22*25%</f>
        <v>174023.33984375</v>
      </c>
      <c r="G24" s="36">
        <f t="shared" si="8"/>
        <v>218191.6748046875</v>
      </c>
    </row>
    <row r="25" spans="1:7">
      <c r="A25" s="34" t="s">
        <v>111</v>
      </c>
      <c r="B25" s="32">
        <f>B22-B24</f>
        <v>-2700</v>
      </c>
      <c r="C25" s="32">
        <f t="shared" ref="C25:G25" si="9">C22-C24</f>
        <v>252883.44</v>
      </c>
      <c r="D25" s="32">
        <f t="shared" si="9"/>
        <v>324637.55625000002</v>
      </c>
      <c r="E25" s="32">
        <f t="shared" si="9"/>
        <v>416066.015625</v>
      </c>
      <c r="F25" s="32">
        <f t="shared" si="9"/>
        <v>522070.01953125</v>
      </c>
      <c r="G25" s="32">
        <f t="shared" si="9"/>
        <v>654575.0244140625</v>
      </c>
    </row>
    <row r="26" spans="1:7">
      <c r="A26" s="55" t="s">
        <v>112</v>
      </c>
      <c r="B26" s="56">
        <v>0</v>
      </c>
      <c r="C26" s="56">
        <v>1</v>
      </c>
      <c r="D26" s="56">
        <v>2</v>
      </c>
      <c r="E26" s="56">
        <v>3</v>
      </c>
      <c r="F26" s="56">
        <v>4</v>
      </c>
      <c r="G26" s="57">
        <v>5</v>
      </c>
    </row>
    <row r="27" spans="1:7">
      <c r="A27" s="34" t="s">
        <v>113</v>
      </c>
      <c r="B27" s="32">
        <f>B25+B19-B3</f>
        <v>-170400</v>
      </c>
      <c r="C27" s="32">
        <f>C25+C19-C3</f>
        <v>256483.44</v>
      </c>
      <c r="D27" s="32">
        <f t="shared" ref="C27:G27" si="10">D25+D19-D3</f>
        <v>328237.55625000002</v>
      </c>
      <c r="E27" s="32">
        <f t="shared" si="10"/>
        <v>419666.015625</v>
      </c>
      <c r="F27" s="32">
        <f t="shared" si="10"/>
        <v>525670.01953125</v>
      </c>
      <c r="G27" s="32">
        <f t="shared" si="10"/>
        <v>658175.0244140625</v>
      </c>
    </row>
    <row r="28" spans="1:7">
      <c r="A28" s="34" t="s">
        <v>114</v>
      </c>
      <c r="B28" s="39"/>
      <c r="C28" s="37"/>
      <c r="D28" s="37"/>
      <c r="E28" s="37"/>
      <c r="F28" s="37"/>
      <c r="G28" s="38"/>
    </row>
    <row r="29" spans="1:7">
      <c r="A29" s="34" t="s">
        <v>115</v>
      </c>
      <c r="B29" s="40">
        <f ca="1">B27/POWER(1+$C$29,B26)</f>
        <v>0</v>
      </c>
      <c r="C29" s="40">
        <f ca="1">C27/POWER(1+$C$29,C26)</f>
        <v>0</v>
      </c>
      <c r="D29" s="40">
        <f t="shared" ref="D29:G29" ca="1" si="11">D27/POWER(1+$C$29,D26)</f>
        <v>333716.45624999999</v>
      </c>
      <c r="E29" s="40">
        <f t="shared" ca="1" si="11"/>
        <v>424631.015625</v>
      </c>
      <c r="F29" s="40">
        <f t="shared" ca="1" si="11"/>
        <v>530635.01953125</v>
      </c>
      <c r="G29" s="41">
        <f t="shared" ca="1" si="11"/>
        <v>663140.0244140625</v>
      </c>
    </row>
    <row r="30" spans="1:7">
      <c r="A30" s="34" t="s">
        <v>116</v>
      </c>
      <c r="B30" s="40">
        <f>B27</f>
        <v>-170400</v>
      </c>
      <c r="C30" s="40">
        <f>B30+C27</f>
        <v>86083.44</v>
      </c>
      <c r="D30" s="40">
        <f t="shared" ref="D30:G30" si="12">C30+D27</f>
        <v>414320.99625000003</v>
      </c>
      <c r="E30" s="40">
        <f t="shared" si="12"/>
        <v>833987.01187500008</v>
      </c>
      <c r="F30" s="40">
        <f t="shared" si="12"/>
        <v>1359657.0314062501</v>
      </c>
      <c r="G30" s="41">
        <f t="shared" si="12"/>
        <v>2017832.0558203126</v>
      </c>
    </row>
    <row r="31" spans="1:7">
      <c r="A31" s="42" t="s">
        <v>117</v>
      </c>
      <c r="B31" s="40">
        <f>B30</f>
        <v>-170400</v>
      </c>
      <c r="C31" s="40">
        <f ca="1">B31+C29</f>
        <v>88476.239999999991</v>
      </c>
      <c r="D31" s="43">
        <f t="shared" ref="D31:G31" ca="1" si="13">C31+D29</f>
        <v>422192.69624999998</v>
      </c>
      <c r="E31" s="43">
        <f t="shared" ca="1" si="13"/>
        <v>846823.71187500004</v>
      </c>
      <c r="F31" s="43">
        <f t="shared" ca="1" si="13"/>
        <v>1377458.73140625</v>
      </c>
      <c r="G31" s="44">
        <f t="shared" ca="1" si="13"/>
        <v>2040598.7558203125</v>
      </c>
    </row>
    <row r="32" spans="1:7">
      <c r="A32" s="58" t="s">
        <v>118</v>
      </c>
      <c r="B32" s="125">
        <f>IRR(B27:G27)</f>
        <v>1.748393325201552</v>
      </c>
      <c r="C32" s="126"/>
    </row>
    <row r="33" spans="1:3">
      <c r="A33" s="29" t="s">
        <v>119</v>
      </c>
      <c r="B33" s="125">
        <f ca="1">IRR(B29:G29)</f>
        <v>0</v>
      </c>
      <c r="C33" s="126"/>
    </row>
    <row r="34" spans="1:3" ht="15.75">
      <c r="A34" s="29" t="s">
        <v>120</v>
      </c>
      <c r="B34" s="127" t="s">
        <v>121</v>
      </c>
      <c r="C34" s="128" t="s">
        <v>122</v>
      </c>
    </row>
    <row r="35" spans="1:3" ht="15.75">
      <c r="A35" s="31" t="s">
        <v>123</v>
      </c>
      <c r="B35" s="127" t="s">
        <v>121</v>
      </c>
      <c r="C35" s="128" t="s">
        <v>122</v>
      </c>
    </row>
  </sheetData>
  <mergeCells count="2">
    <mergeCell ref="A1:G1"/>
    <mergeCell ref="A9:G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6572-CBDD-4BBA-941B-C1099EC117D6}">
  <dimension ref="A3:J22"/>
  <sheetViews>
    <sheetView topLeftCell="A4" zoomScale="140" zoomScaleNormal="140" workbookViewId="0">
      <selection activeCell="D18" sqref="D18"/>
    </sheetView>
  </sheetViews>
  <sheetFormatPr defaultColWidth="11.42578125" defaultRowHeight="14.45"/>
  <sheetData>
    <row r="3" spans="1:8">
      <c r="C3" t="s">
        <v>124</v>
      </c>
    </row>
    <row r="4" spans="1:8">
      <c r="C4" t="s">
        <v>125</v>
      </c>
      <c r="D4" s="115">
        <v>0.1</v>
      </c>
    </row>
    <row r="5" spans="1:8">
      <c r="B5" t="s">
        <v>126</v>
      </c>
      <c r="C5">
        <v>100000</v>
      </c>
    </row>
    <row r="6" spans="1:8">
      <c r="B6">
        <v>1</v>
      </c>
      <c r="C6" s="119">
        <f>C5+D6</f>
        <v>110000</v>
      </c>
      <c r="D6" s="119">
        <f>C5*$D$4</f>
        <v>10000</v>
      </c>
    </row>
    <row r="7" spans="1:8">
      <c r="B7">
        <v>2</v>
      </c>
      <c r="C7" s="119">
        <f>C6+D7</f>
        <v>121000</v>
      </c>
      <c r="D7" s="119">
        <f>C6*$D$4</f>
        <v>11000</v>
      </c>
    </row>
    <row r="10" spans="1:8">
      <c r="D10" t="s">
        <v>127</v>
      </c>
      <c r="E10" t="s">
        <v>128</v>
      </c>
    </row>
    <row r="12" spans="1:8">
      <c r="D12" t="s">
        <v>129</v>
      </c>
      <c r="E12" t="s">
        <v>130</v>
      </c>
    </row>
    <row r="14" spans="1:8">
      <c r="A14" t="s">
        <v>7</v>
      </c>
      <c r="B14">
        <v>0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</row>
    <row r="15" spans="1:8">
      <c r="A15" t="s">
        <v>131</v>
      </c>
      <c r="B15" s="119">
        <v>-120000</v>
      </c>
      <c r="C15" s="119"/>
    </row>
    <row r="16" spans="1:8">
      <c r="A16" t="s">
        <v>132</v>
      </c>
      <c r="B16" s="119"/>
      <c r="C16" s="119">
        <v>20000</v>
      </c>
      <c r="D16" s="119">
        <v>35000</v>
      </c>
      <c r="E16" s="119">
        <v>50000</v>
      </c>
      <c r="F16" s="119">
        <v>55000</v>
      </c>
      <c r="G16" s="119">
        <v>40000</v>
      </c>
      <c r="H16" s="119">
        <f>G16</f>
        <v>40000</v>
      </c>
    </row>
    <row r="17" spans="1:10">
      <c r="A17" t="s">
        <v>133</v>
      </c>
      <c r="B17" s="119"/>
      <c r="C17" s="120">
        <v>25000</v>
      </c>
      <c r="D17" s="119">
        <v>20000</v>
      </c>
      <c r="E17" s="119">
        <v>10000</v>
      </c>
      <c r="F17" s="119">
        <f>E17</f>
        <v>10000</v>
      </c>
      <c r="G17" s="119">
        <f>F17</f>
        <v>10000</v>
      </c>
      <c r="H17" s="119">
        <f>G17</f>
        <v>10000</v>
      </c>
    </row>
    <row r="18" spans="1:10">
      <c r="A18" s="118" t="s">
        <v>134</v>
      </c>
      <c r="B18" s="117">
        <f>B15</f>
        <v>-120000</v>
      </c>
      <c r="C18" s="117">
        <f t="shared" ref="C18:H18" si="0">C15+C16-C17</f>
        <v>-5000</v>
      </c>
      <c r="D18" s="117">
        <f t="shared" si="0"/>
        <v>15000</v>
      </c>
      <c r="E18" s="117">
        <f t="shared" si="0"/>
        <v>40000</v>
      </c>
      <c r="F18" s="117">
        <f t="shared" si="0"/>
        <v>45000</v>
      </c>
      <c r="G18" s="117">
        <f t="shared" si="0"/>
        <v>30000</v>
      </c>
      <c r="H18" s="117">
        <f t="shared" si="0"/>
        <v>30000</v>
      </c>
      <c r="I18" t="s">
        <v>135</v>
      </c>
      <c r="J18" t="s">
        <v>136</v>
      </c>
    </row>
    <row r="19" spans="1:10">
      <c r="A19" t="s">
        <v>96</v>
      </c>
      <c r="B19" s="116">
        <f>B15</f>
        <v>-120000</v>
      </c>
      <c r="C19" s="116">
        <f t="shared" ref="C19:H19" si="1">B19+C18</f>
        <v>-125000</v>
      </c>
      <c r="D19" s="116">
        <f t="shared" si="1"/>
        <v>-110000</v>
      </c>
      <c r="E19" s="116">
        <f t="shared" si="1"/>
        <v>-70000</v>
      </c>
      <c r="F19" s="116">
        <f t="shared" si="1"/>
        <v>-25000</v>
      </c>
      <c r="G19" s="116">
        <f t="shared" si="1"/>
        <v>5000</v>
      </c>
      <c r="H19" s="116">
        <f t="shared" si="1"/>
        <v>35000</v>
      </c>
      <c r="I19" t="s">
        <v>137</v>
      </c>
    </row>
    <row r="20" spans="1:10">
      <c r="A20" t="s">
        <v>99</v>
      </c>
      <c r="B20" s="115">
        <f>IRR(B18:G18)</f>
        <v>1.081035631256877E-2</v>
      </c>
    </row>
    <row r="21" spans="1:10">
      <c r="A21" t="s">
        <v>138</v>
      </c>
      <c r="B21">
        <v>4</v>
      </c>
      <c r="C21">
        <f>25000/30000*12</f>
        <v>10</v>
      </c>
    </row>
    <row r="22" spans="1:10">
      <c r="B22" t="s">
        <v>21</v>
      </c>
      <c r="C22" t="s">
        <v>139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E86B12B2892468B4E66F9F0873F45" ma:contentTypeVersion="15" ma:contentTypeDescription="Create a new document." ma:contentTypeScope="" ma:versionID="ff8b3f593a3b18c614f55e7798a0c7b7">
  <xsd:schema xmlns:xsd="http://www.w3.org/2001/XMLSchema" xmlns:xs="http://www.w3.org/2001/XMLSchema" xmlns:p="http://schemas.microsoft.com/office/2006/metadata/properties" xmlns:ns2="5e559808-d930-4970-91a1-bd6f234f8931" xmlns:ns3="e8aab117-5955-4390-81ce-465e4528e65f" targetNamespace="http://schemas.microsoft.com/office/2006/metadata/properties" ma:root="true" ma:fieldsID="edc24b2e0e41619a1ca2dcefd59f18a2" ns2:_="" ns3:_="">
    <xsd:import namespace="5e559808-d930-4970-91a1-bd6f234f8931"/>
    <xsd:import namespace="e8aab117-5955-4390-81ce-465e4528e6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Typededocumen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59808-d930-4970-91a1-bd6f234f8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ffef63-4b63-4086-abdd-edc9d1547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ypededocument" ma:index="21" nillable="true" ma:displayName="Type de document" ma:format="Dropdown" ma:internalName="Typededocument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ab117-5955-4390-81ce-465e4528e6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325a2c-4f9d-485a-8b53-02385c9b2f22}" ma:internalName="TaxCatchAll" ma:showField="CatchAllData" ma:web="e8aab117-5955-4390-81ce-465e4528e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dedocument xmlns="5e559808-d930-4970-91a1-bd6f234f8931" xsi:nil="true"/>
    <TaxCatchAll xmlns="e8aab117-5955-4390-81ce-465e4528e65f" xsi:nil="true"/>
    <lcf76f155ced4ddcb4097134ff3c332f xmlns="5e559808-d930-4970-91a1-bd6f234f893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41042F-2973-4D7D-834C-5B49DE00443C}"/>
</file>

<file path=customXml/itemProps2.xml><?xml version="1.0" encoding="utf-8"?>
<ds:datastoreItem xmlns:ds="http://schemas.openxmlformats.org/officeDocument/2006/customXml" ds:itemID="{4EB3298A-0892-476B-B703-86C7869FB480}"/>
</file>

<file path=customXml/itemProps3.xml><?xml version="1.0" encoding="utf-8"?>
<ds:datastoreItem xmlns:ds="http://schemas.openxmlformats.org/officeDocument/2006/customXml" ds:itemID="{28CF938E-7499-422D-8EE8-D75A335DB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Gilles SAUVAGEON</dc:creator>
  <cp:keywords/>
  <dc:description/>
  <cp:lastModifiedBy>Elisa FAUCI [EKVY]</cp:lastModifiedBy>
  <cp:revision/>
  <dcterms:created xsi:type="dcterms:W3CDTF">2019-04-23T16:17:05Z</dcterms:created>
  <dcterms:modified xsi:type="dcterms:W3CDTF">2023-10-09T08:19:03Z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0x01010051AE86B12B2892468B4E66F9F0873F45</vt:lpwstr>
  </property>
  <property fmtid="{D5CDD505-2E9C-101B-9397-08002B2CF9AE}" pid="3" name="MediaServiceImageTags">
    <vt:lpwstr/>
  </property>
</Properties>
</file>