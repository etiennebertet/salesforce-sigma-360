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09"/>
  <workbookPr/>
  <mc:AlternateContent xmlns:mc="http://schemas.openxmlformats.org/markup-compatibility/2006">
    <mc:Choice Requires="x15">
      <x15ac:absPath xmlns:x15ac="http://schemas.microsoft.com/office/spreadsheetml/2010/11/ac" url="D:\FORMATEUR CONSULTANT\Client\EDUMOTIV\Documents pédagogiques\ERP SAP\Module2 Budget des projets informatiques (Aide au FICO)\Cas pratiques\"/>
    </mc:Choice>
  </mc:AlternateContent>
  <xr:revisionPtr revIDLastSave="1267" documentId="13_ncr:1_{7323F880-F1A8-46D0-A8F8-D66DD01C3064}" xr6:coauthVersionLast="47" xr6:coauthVersionMax="47" xr10:uidLastSave="{EF7FCFF4-BB09-4437-9666-250882931F2F}"/>
  <bookViews>
    <workbookView xWindow="-108" yWindow="-108" windowWidth="23256" windowHeight="12456" firstSheet="5" activeTab="5" xr2:uid="{00000000-000D-0000-FFFF-FFFF00000000}"/>
  </bookViews>
  <sheets>
    <sheet name="ROI resume" sheetId="17" r:id="rId1"/>
    <sheet name="ROI short version" sheetId="12" r:id="rId2"/>
    <sheet name="ROI 40% version" sheetId="14" r:id="rId3"/>
    <sheet name="ROI 25% version" sheetId="13" r:id="rId4"/>
    <sheet name="ROI 5% version" sheetId="15" r:id="rId5"/>
    <sheet name="Budget" sheetId="16" r:id="rId6"/>
  </sheets>
  <externalReferences>
    <externalReference r:id="rId7"/>
    <externalReference r:id="rId8"/>
  </externalReferences>
  <definedNames>
    <definedName name="Agencements">[1]Données!$D$6</definedName>
    <definedName name="Bâtiments">[1]Données!$D$5</definedName>
    <definedName name="Capital">[1]Données!$D$12</definedName>
    <definedName name="Consommation_mensuelle">[1]Données!$D$26</definedName>
    <definedName name="Déficit">[2]Questions!#REF!</definedName>
    <definedName name="Dotation_aux_amortissements">[2]Questions!#REF!</definedName>
    <definedName name="Dotation_globale">[2]Questions!#REF!</definedName>
    <definedName name="Emprunt">[1]Données!$D$13</definedName>
    <definedName name="Matériels">[1]Données!$D$7</definedName>
    <definedName name="Recettes">[2]Questions!#REF!</definedName>
    <definedName name="Recettes_annuelles">[1]Données!$D$32</definedName>
    <definedName name="Résultat">[2]Questions!#REF!</definedName>
    <definedName name="Salaires">[1]Données!$D$28</definedName>
    <definedName name="Services_extérieurs">[1]Données!$D$27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6" l="1"/>
  <c r="C11" i="14"/>
  <c r="K12" i="16"/>
  <c r="I12" i="16"/>
  <c r="C18" i="13"/>
  <c r="C18" i="14"/>
  <c r="C33" i="17"/>
  <c r="C20" i="13"/>
  <c r="C19" i="13"/>
  <c r="C17" i="13"/>
  <c r="C31" i="17"/>
  <c r="C40" i="17"/>
  <c r="C22" i="17"/>
  <c r="C25" i="17" s="1"/>
  <c r="C29" i="17"/>
  <c r="C20" i="14"/>
  <c r="C19" i="14"/>
  <c r="C17" i="14"/>
  <c r="D9" i="12"/>
  <c r="D8" i="12"/>
  <c r="D7" i="12"/>
  <c r="D6" i="12"/>
  <c r="D5" i="12"/>
  <c r="D27" i="16"/>
  <c r="B13" i="16" s="1"/>
  <c r="D22" i="16"/>
  <c r="E22" i="16" s="1"/>
  <c r="D21" i="16"/>
  <c r="J11" i="16"/>
  <c r="L11" i="16" s="1"/>
  <c r="H10" i="16"/>
  <c r="J10" i="16" s="1"/>
  <c r="L10" i="16" s="1"/>
  <c r="J9" i="16"/>
  <c r="L9" i="16" s="1"/>
  <c r="J8" i="16"/>
  <c r="L8" i="16" s="1"/>
  <c r="J7" i="16"/>
  <c r="L7" i="16" s="1"/>
  <c r="B7" i="16"/>
  <c r="B9" i="16" s="1"/>
  <c r="J6" i="16"/>
  <c r="L6" i="16" s="1"/>
  <c r="J5" i="16"/>
  <c r="L5" i="16" s="1"/>
  <c r="J4" i="16"/>
  <c r="E4" i="16"/>
  <c r="E8" i="16" s="1"/>
  <c r="B2" i="16"/>
  <c r="B27" i="14"/>
  <c r="B22" i="14"/>
  <c r="D11" i="14"/>
  <c r="E11" i="14"/>
  <c r="F11" i="14" s="1"/>
  <c r="G11" i="14" s="1"/>
  <c r="C11" i="15"/>
  <c r="D11" i="15"/>
  <c r="E11" i="15" s="1"/>
  <c r="F11" i="15"/>
  <c r="G11" i="15"/>
  <c r="J29" i="15"/>
  <c r="G19" i="15"/>
  <c r="F19" i="15"/>
  <c r="E19" i="15"/>
  <c r="D19" i="15"/>
  <c r="C19" i="15"/>
  <c r="B19" i="15"/>
  <c r="B16" i="15"/>
  <c r="B22" i="15" s="1"/>
  <c r="G10" i="15"/>
  <c r="F10" i="15"/>
  <c r="E10" i="15"/>
  <c r="D10" i="15"/>
  <c r="C10" i="15"/>
  <c r="B5" i="15"/>
  <c r="B3" i="15"/>
  <c r="C2" i="15"/>
  <c r="D2" i="15" s="1"/>
  <c r="E2" i="15" s="1"/>
  <c r="F2" i="15" s="1"/>
  <c r="G2" i="15" s="1"/>
  <c r="J29" i="14"/>
  <c r="G19" i="14"/>
  <c r="F19" i="14"/>
  <c r="E19" i="14"/>
  <c r="D19" i="14"/>
  <c r="B19" i="14"/>
  <c r="B16" i="14"/>
  <c r="G10" i="14"/>
  <c r="F10" i="14"/>
  <c r="E10" i="14"/>
  <c r="D10" i="14"/>
  <c r="D22" i="14" s="1"/>
  <c r="C10" i="14"/>
  <c r="B5" i="14"/>
  <c r="B3" i="14"/>
  <c r="C2" i="14"/>
  <c r="D2" i="14" s="1"/>
  <c r="E2" i="14" s="1"/>
  <c r="F2" i="14" s="1"/>
  <c r="G2" i="14" s="1"/>
  <c r="C11" i="13"/>
  <c r="D11" i="13" s="1"/>
  <c r="E11" i="13" s="1"/>
  <c r="F11" i="13" s="1"/>
  <c r="G11" i="13" s="1"/>
  <c r="J29" i="13"/>
  <c r="G19" i="13"/>
  <c r="F19" i="13"/>
  <c r="E19" i="13"/>
  <c r="D19" i="13"/>
  <c r="B19" i="13"/>
  <c r="B16" i="13"/>
  <c r="B22" i="13" s="1"/>
  <c r="G10" i="13"/>
  <c r="F10" i="13"/>
  <c r="E10" i="13"/>
  <c r="D10" i="13"/>
  <c r="C10" i="13"/>
  <c r="B5" i="13"/>
  <c r="B3" i="13"/>
  <c r="C2" i="13"/>
  <c r="D2" i="13" s="1"/>
  <c r="E2" i="13" s="1"/>
  <c r="F2" i="13" s="1"/>
  <c r="G2" i="13" s="1"/>
  <c r="F7" i="12"/>
  <c r="F9" i="12" s="1"/>
  <c r="B6" i="12"/>
  <c r="B9" i="12" s="1"/>
  <c r="C42" i="17" l="1"/>
  <c r="C32" i="17"/>
  <c r="C34" i="17" s="1"/>
  <c r="E10" i="16"/>
  <c r="E9" i="16"/>
  <c r="J12" i="16"/>
  <c r="B3" i="16" s="1"/>
  <c r="L4" i="16"/>
  <c r="L12" i="16" s="1"/>
  <c r="B4" i="16" s="1"/>
  <c r="D23" i="16"/>
  <c r="E21" i="16"/>
  <c r="E23" i="16" s="1"/>
  <c r="B5" i="16" s="1"/>
  <c r="G18" i="15"/>
  <c r="G16" i="15" s="1"/>
  <c r="F18" i="15"/>
  <c r="F16" i="15" s="1"/>
  <c r="E18" i="15"/>
  <c r="E16" i="15" s="1"/>
  <c r="D18" i="15"/>
  <c r="D16" i="15" s="1"/>
  <c r="C18" i="15"/>
  <c r="C16" i="15" s="1"/>
  <c r="C22" i="15"/>
  <c r="D22" i="15"/>
  <c r="E22" i="15"/>
  <c r="F22" i="15"/>
  <c r="G22" i="15"/>
  <c r="B24" i="15"/>
  <c r="B25" i="15" s="1"/>
  <c r="B27" i="15" s="1"/>
  <c r="G18" i="14"/>
  <c r="G16" i="14" s="1"/>
  <c r="F18" i="14"/>
  <c r="F16" i="14" s="1"/>
  <c r="E18" i="14"/>
  <c r="E16" i="14" s="1"/>
  <c r="D18" i="14"/>
  <c r="D16" i="14" s="1"/>
  <c r="C16" i="14"/>
  <c r="C22" i="14" s="1"/>
  <c r="E22" i="14"/>
  <c r="F22" i="14"/>
  <c r="G22" i="14"/>
  <c r="B24" i="14"/>
  <c r="B25" i="14" s="1"/>
  <c r="G18" i="13"/>
  <c r="G16" i="13" s="1"/>
  <c r="F18" i="13"/>
  <c r="F16" i="13" s="1"/>
  <c r="E18" i="13"/>
  <c r="E16" i="13" s="1"/>
  <c r="D18" i="13"/>
  <c r="D16" i="13" s="1"/>
  <c r="C16" i="13"/>
  <c r="C22" i="13"/>
  <c r="D22" i="13"/>
  <c r="E22" i="13"/>
  <c r="F22" i="13"/>
  <c r="G22" i="13"/>
  <c r="B24" i="13"/>
  <c r="B25" i="13" s="1"/>
  <c r="B27" i="13" s="1"/>
  <c r="B6" i="16" l="1"/>
  <c r="B30" i="15"/>
  <c r="B29" i="15"/>
  <c r="G24" i="15"/>
  <c r="G25" i="15" s="1"/>
  <c r="G27" i="15" s="1"/>
  <c r="F24" i="15"/>
  <c r="F25" i="15" s="1"/>
  <c r="F27" i="15" s="1"/>
  <c r="E24" i="15"/>
  <c r="E25" i="15" s="1"/>
  <c r="E27" i="15" s="1"/>
  <c r="D24" i="15"/>
  <c r="D25" i="15" s="1"/>
  <c r="D27" i="15" s="1"/>
  <c r="C24" i="15"/>
  <c r="C25" i="15" s="1"/>
  <c r="C27" i="15" s="1"/>
  <c r="B30" i="14"/>
  <c r="B29" i="14"/>
  <c r="G24" i="14"/>
  <c r="G25" i="14" s="1"/>
  <c r="G27" i="14" s="1"/>
  <c r="F24" i="14"/>
  <c r="F25" i="14" s="1"/>
  <c r="F27" i="14" s="1"/>
  <c r="E24" i="14"/>
  <c r="E25" i="14" s="1"/>
  <c r="E27" i="14" s="1"/>
  <c r="D24" i="14"/>
  <c r="D25" i="14" s="1"/>
  <c r="D27" i="14" s="1"/>
  <c r="C24" i="14"/>
  <c r="C25" i="14" s="1"/>
  <c r="C27" i="14" s="1"/>
  <c r="B30" i="13"/>
  <c r="B29" i="13"/>
  <c r="G24" i="13"/>
  <c r="G25" i="13" s="1"/>
  <c r="G27" i="13" s="1"/>
  <c r="F24" i="13"/>
  <c r="F25" i="13" s="1"/>
  <c r="F27" i="13" s="1"/>
  <c r="E24" i="13"/>
  <c r="E25" i="13" s="1"/>
  <c r="E27" i="13" s="1"/>
  <c r="D24" i="13"/>
  <c r="D25" i="13" s="1"/>
  <c r="D27" i="13" s="1"/>
  <c r="C24" i="13"/>
  <c r="C25" i="13" s="1"/>
  <c r="C27" i="13" s="1"/>
  <c r="K30" i="13" s="1"/>
  <c r="M30" i="13" s="1"/>
  <c r="D29" i="13" l="1"/>
  <c r="L31" i="13" s="1"/>
  <c r="K31" i="13"/>
  <c r="M31" i="13" s="1"/>
  <c r="E29" i="13"/>
  <c r="L32" i="13" s="1"/>
  <c r="K32" i="13"/>
  <c r="F29" i="13"/>
  <c r="K33" i="13"/>
  <c r="G29" i="13"/>
  <c r="L34" i="13" s="1"/>
  <c r="K34" i="13"/>
  <c r="K30" i="15"/>
  <c r="M30" i="15" s="1"/>
  <c r="C29" i="15"/>
  <c r="L30" i="15" s="1"/>
  <c r="N30" i="15" s="1"/>
  <c r="B32" i="15"/>
  <c r="K31" i="15"/>
  <c r="D29" i="15"/>
  <c r="L31" i="15" s="1"/>
  <c r="K32" i="15"/>
  <c r="E29" i="15"/>
  <c r="L32" i="15" s="1"/>
  <c r="K33" i="15"/>
  <c r="F29" i="15"/>
  <c r="K34" i="15"/>
  <c r="G29" i="15"/>
  <c r="L34" i="15" s="1"/>
  <c r="B33" i="15"/>
  <c r="K26" i="15"/>
  <c r="B31" i="15"/>
  <c r="C30" i="15"/>
  <c r="D30" i="15" s="1"/>
  <c r="E30" i="15" s="1"/>
  <c r="F30" i="15" s="1"/>
  <c r="K30" i="14"/>
  <c r="M30" i="14" s="1"/>
  <c r="C29" i="14"/>
  <c r="L30" i="14" s="1"/>
  <c r="N30" i="14" s="1"/>
  <c r="B32" i="14"/>
  <c r="K31" i="14"/>
  <c r="D29" i="14"/>
  <c r="L31" i="14" s="1"/>
  <c r="K32" i="14"/>
  <c r="E29" i="14"/>
  <c r="L32" i="14" s="1"/>
  <c r="K33" i="14"/>
  <c r="F29" i="14"/>
  <c r="K34" i="14"/>
  <c r="G29" i="14"/>
  <c r="L34" i="14" s="1"/>
  <c r="B33" i="14"/>
  <c r="K26" i="14"/>
  <c r="B31" i="14"/>
  <c r="C30" i="14"/>
  <c r="D30" i="14" s="1"/>
  <c r="E30" i="14" s="1"/>
  <c r="F30" i="14" s="1"/>
  <c r="C29" i="13"/>
  <c r="L30" i="13" s="1"/>
  <c r="B32" i="13"/>
  <c r="B33" i="13"/>
  <c r="K26" i="13"/>
  <c r="B31" i="13"/>
  <c r="C30" i="13"/>
  <c r="D30" i="13" s="1"/>
  <c r="E30" i="13" s="1"/>
  <c r="F30" i="13" s="1"/>
  <c r="G30" i="13" l="1"/>
  <c r="L33" i="13"/>
  <c r="L33" i="15"/>
  <c r="G30" i="15"/>
  <c r="C31" i="15"/>
  <c r="D31" i="15" s="1"/>
  <c r="E31" i="15" s="1"/>
  <c r="F31" i="15" s="1"/>
  <c r="G31" i="15" s="1"/>
  <c r="L26" i="15"/>
  <c r="N31" i="15"/>
  <c r="N32" i="15" s="1"/>
  <c r="N33" i="15" s="1"/>
  <c r="N34" i="15" s="1"/>
  <c r="M31" i="15"/>
  <c r="L33" i="14"/>
  <c r="G30" i="14"/>
  <c r="C31" i="14"/>
  <c r="D31" i="14" s="1"/>
  <c r="E31" i="14" s="1"/>
  <c r="F31" i="14" s="1"/>
  <c r="G31" i="14" s="1"/>
  <c r="L26" i="14"/>
  <c r="N31" i="14"/>
  <c r="N32" i="14" s="1"/>
  <c r="N33" i="14" s="1"/>
  <c r="N34" i="14" s="1"/>
  <c r="M31" i="14"/>
  <c r="M32" i="13"/>
  <c r="M33" i="13" s="1"/>
  <c r="M34" i="13" s="1"/>
  <c r="P28" i="13"/>
  <c r="P29" i="13"/>
  <c r="C31" i="13"/>
  <c r="L26" i="13"/>
  <c r="P30" i="13"/>
  <c r="P31" i="13" s="1"/>
  <c r="P32" i="13" s="1"/>
  <c r="J27" i="13"/>
  <c r="B34" i="13" l="1"/>
  <c r="M32" i="15"/>
  <c r="M33" i="15" s="1"/>
  <c r="M34" i="15" s="1"/>
  <c r="P29" i="15"/>
  <c r="P30" i="15" s="1"/>
  <c r="P31" i="15" s="1"/>
  <c r="P28" i="15"/>
  <c r="Q29" i="15"/>
  <c r="Q28" i="15"/>
  <c r="M32" i="14"/>
  <c r="M33" i="14" s="1"/>
  <c r="M34" i="14" s="1"/>
  <c r="P29" i="14"/>
  <c r="P30" i="14" s="1"/>
  <c r="P31" i="14" s="1"/>
  <c r="P28" i="14"/>
  <c r="Q29" i="14"/>
  <c r="Q28" i="14"/>
  <c r="C34" i="13"/>
  <c r="D31" i="13"/>
  <c r="N30" i="13"/>
  <c r="N31" i="13" s="1"/>
  <c r="N32" i="13" s="1"/>
  <c r="N33" i="13" s="1"/>
  <c r="N34" i="13" s="1"/>
  <c r="Q30" i="15" l="1"/>
  <c r="Q31" i="15" s="1"/>
  <c r="Q32" i="15" s="1"/>
  <c r="C35" i="15" s="1"/>
  <c r="B35" i="15"/>
  <c r="P32" i="15"/>
  <c r="C34" i="15"/>
  <c r="B34" i="15"/>
  <c r="J27" i="15"/>
  <c r="Q30" i="14"/>
  <c r="Q31" i="14" s="1"/>
  <c r="Q32" i="14" s="1"/>
  <c r="C35" i="14" s="1"/>
  <c r="B35" i="14"/>
  <c r="P32" i="14"/>
  <c r="C34" i="14"/>
  <c r="B34" i="14"/>
  <c r="J27" i="14"/>
  <c r="E31" i="13"/>
  <c r="F31" i="13" l="1"/>
  <c r="G31" i="13" l="1"/>
  <c r="Q28" i="13" l="1"/>
  <c r="Q29" i="13"/>
  <c r="Q30" i="13" l="1"/>
  <c r="Q31" i="13" s="1"/>
  <c r="Q32" i="13" s="1"/>
  <c r="C35" i="13" s="1"/>
  <c r="B35" i="13"/>
</calcChain>
</file>

<file path=xl/sharedStrings.xml><?xml version="1.0" encoding="utf-8"?>
<sst xmlns="http://schemas.openxmlformats.org/spreadsheetml/2006/main" count="323" uniqueCount="150">
  <si>
    <t>PROJECT SIGMA 360 SALESFORCE - TEAM CRM ALPHA</t>
  </si>
  <si>
    <t>INVESTMENTS, COSTS, ECONOMY, GAINS, RETURN ON INVESTMENT</t>
  </si>
  <si>
    <t>Note</t>
  </si>
  <si>
    <r>
      <rPr>
        <b/>
        <sz val="12"/>
        <color rgb="FF000000"/>
        <rFont val="Calibri"/>
        <scheme val="minor"/>
      </rPr>
      <t xml:space="preserve">The ROI </t>
    </r>
    <r>
      <rPr>
        <b/>
        <i/>
        <sz val="12"/>
        <color rgb="FF000000"/>
        <rFont val="Calibri"/>
        <scheme val="minor"/>
      </rPr>
      <t>(Return On Investment)</t>
    </r>
    <r>
      <rPr>
        <b/>
        <sz val="12"/>
        <color rgb="FF000000"/>
        <rFont val="Calibri"/>
        <scheme val="minor"/>
      </rPr>
      <t xml:space="preserve"> has different definition according to various ways of accounting. </t>
    </r>
  </si>
  <si>
    <t>The ROI can either describe either:</t>
  </si>
  <si>
    <t>1. The Internal Rate of Return (IRR) expressed in percentage.</t>
  </si>
  <si>
    <t>2. The Payback Period expressed in time.</t>
  </si>
  <si>
    <t>ROI</t>
  </si>
  <si>
    <r>
      <rPr>
        <sz val="12"/>
        <color rgb="FF000000"/>
        <rFont val="Calibri"/>
        <scheme val="minor"/>
      </rPr>
      <t xml:space="preserve">1. With a </t>
    </r>
    <r>
      <rPr>
        <b/>
        <sz val="12"/>
        <color rgb="FF000000"/>
        <rFont val="Calibri"/>
        <scheme val="minor"/>
      </rPr>
      <t>sales increase of 40% per year</t>
    </r>
    <r>
      <rPr>
        <sz val="12"/>
        <color rgb="FF000000"/>
        <rFont val="Calibri"/>
        <scheme val="minor"/>
      </rPr>
      <t xml:space="preserve">, the </t>
    </r>
    <r>
      <rPr>
        <b/>
        <sz val="12"/>
        <color rgb="FF000000"/>
        <rFont val="Calibri"/>
        <scheme val="minor"/>
      </rPr>
      <t>Internal Rate of Return (IRR) is 57,67% on five years.</t>
    </r>
    <r>
      <rPr>
        <sz val="12"/>
        <color rgb="FF000000"/>
        <rFont val="Calibri"/>
        <scheme val="minor"/>
      </rPr>
      <t xml:space="preserve"> </t>
    </r>
  </si>
  <si>
    <r>
      <rPr>
        <sz val="12"/>
        <color rgb="FF000000"/>
        <rFont val="Calibri"/>
        <scheme val="minor"/>
      </rPr>
      <t xml:space="preserve">2. With a </t>
    </r>
    <r>
      <rPr>
        <b/>
        <sz val="12"/>
        <color rgb="FF000000"/>
        <rFont val="Calibri"/>
        <scheme val="minor"/>
      </rPr>
      <t>sales increase of 40% per year</t>
    </r>
    <r>
      <rPr>
        <sz val="12"/>
        <color rgb="FF000000"/>
        <rFont val="Calibri"/>
        <scheme val="minor"/>
      </rPr>
      <t xml:space="preserve">, the </t>
    </r>
    <r>
      <rPr>
        <b/>
        <sz val="12"/>
        <color rgb="FF000000"/>
        <rFont val="Calibri"/>
        <scheme val="minor"/>
      </rPr>
      <t>Payback Period is 1 year 9 months</t>
    </r>
    <r>
      <rPr>
        <sz val="12"/>
        <color rgb="FF000000"/>
        <rFont val="Calibri"/>
        <scheme val="minor"/>
      </rPr>
      <t>.</t>
    </r>
  </si>
  <si>
    <t>This is the detailed explanation of how we calculated the costs of the project and how we evaluated the relative ROI.</t>
  </si>
  <si>
    <t>COSTS</t>
  </si>
  <si>
    <t>GAINS</t>
  </si>
  <si>
    <t>Investments</t>
  </si>
  <si>
    <t>Savings</t>
  </si>
  <si>
    <t>Title</t>
  </si>
  <si>
    <t>Description</t>
  </si>
  <si>
    <t>Cost</t>
  </si>
  <si>
    <t>Gain</t>
  </si>
  <si>
    <t>Prior studies by consultants</t>
  </si>
  <si>
    <t>Consultant daily rate*number of days*number of consultants</t>
  </si>
  <si>
    <t>Working time economy</t>
  </si>
  <si>
    <t xml:space="preserve">Economy of salespersons' time for making a sale. </t>
  </si>
  <si>
    <t>To be evaluated</t>
  </si>
  <si>
    <t>Working time economy (Sales reps)</t>
  </si>
  <si>
    <t>Original time: 200h/month (5000€ patronal cost) 
1/3 prospection
1/3 Customer relation (quote, contract)
1/3 Paperwork (reporting, files,)</t>
  </si>
  <si>
    <t>Economy of salespersons' time for making a sale. 
SAF allows the reduction by automation of prespection time. (1/3 -&gt; 0)
SAF allows diminution of paperwork. (1/3 -&gt; 1/5)
Customer relation increases (1/3 -&gt; 4/5) (+++++)</t>
  </si>
  <si>
    <t>External HR costs of decision-making for prior study</t>
  </si>
  <si>
    <t>Consulted people in the company*daily rate*numbers of days (essentially meetings)</t>
  </si>
  <si>
    <t>Consumable items economy</t>
  </si>
  <si>
    <t xml:space="preserve">Economy in price of licences, electricity or tools due to system's change. </t>
  </si>
  <si>
    <t>None or unknown</t>
  </si>
  <si>
    <t>Working time economy - Sales Assistant</t>
  </si>
  <si>
    <t>Original time: 200h/month (3500€ patronal cost)
2/3 Order processing
1/3 360° communication &amp; paperwork</t>
  </si>
  <si>
    <t>Better complain management &amp; solving. 
1/3 Order Processing
1/3 Claims management (+++)
1/3 Promotion (Communication) (+++)
0 paperwork</t>
  </si>
  <si>
    <t>Salesforce deployment by consultants</t>
  </si>
  <si>
    <t>External HR costs of decision-making for deployment</t>
  </si>
  <si>
    <t>Total</t>
  </si>
  <si>
    <t xml:space="preserve">Operating costs during first year
</t>
  </si>
  <si>
    <t>We estimate that the first year will cost 20% more than the following years due to challenges of adaptation to change.</t>
  </si>
  <si>
    <t>Production gains</t>
  </si>
  <si>
    <t>Users training: teachers</t>
  </si>
  <si>
    <t>1 trainer*800€ daily rate*3 days</t>
  </si>
  <si>
    <t>Increase in sales</t>
  </si>
  <si>
    <t>See references (A38:A41)</t>
  </si>
  <si>
    <t>Up to 40%</t>
  </si>
  <si>
    <t>Users training: employees trained</t>
  </si>
  <si>
    <t>Maintenance cost</t>
  </si>
  <si>
    <t>Internal cost of system maintenance and system solving. Low expectation.
500€*consultant*12 days</t>
  </si>
  <si>
    <t>Salesforce Licence</t>
  </si>
  <si>
    <t>4 users*12 months*75€</t>
  </si>
  <si>
    <t>Depreciation charge</t>
  </si>
  <si>
    <t>Amortization of Sigma360 project's total cost on 5 years (20% of total costs each year, deduced from taxes).</t>
  </si>
  <si>
    <t>Operating costs next years</t>
  </si>
  <si>
    <t>Users training</t>
  </si>
  <si>
    <t>1 trainer*800€ daily rate*2,5 days</t>
  </si>
  <si>
    <t>Internal cost of system maintenance and system solving. Low expectation.
500€*consultant*10 days</t>
  </si>
  <si>
    <t>References of estimate sales increase</t>
  </si>
  <si>
    <t>100 Statistiques CRM &amp; Tendances pour 2022 (stratenet.com) </t>
  </si>
  <si>
    <t>CRM : Statistiques et Chiffres Clés (2023) (sales-hacking.com) </t>
  </si>
  <si>
    <t>5 façons dont le CRM peut augmenter vos ventes | Entreprise sans fautes (entreprise-sans-fautes.com) </t>
  </si>
  <si>
    <t>31 chiffres clés sur la prospection commerciale en 2022 (hubspot.fr) </t>
  </si>
  <si>
    <t>INVESTMENTS, COSTS, ECONOMY, GAINS</t>
  </si>
  <si>
    <t>Operating costs during first year (+20%)</t>
  </si>
  <si>
    <t>Economies</t>
  </si>
  <si>
    <t>Unknown</t>
  </si>
  <si>
    <t>Up to 40% (see references)</t>
  </si>
  <si>
    <t>Totals</t>
  </si>
  <si>
    <t>ANALYTICAL INCOME ACCOUNT OVER 5 YEARS Linear depreciation
+40% Sales Increase</t>
  </si>
  <si>
    <t>YEARS</t>
  </si>
  <si>
    <t>OPERATING</t>
  </si>
  <si>
    <t>Operating incomes</t>
  </si>
  <si>
    <t>Net increase in sales</t>
  </si>
  <si>
    <t>Operating savings</t>
  </si>
  <si>
    <t>Cost reduction</t>
  </si>
  <si>
    <t>Improved productivity</t>
  </si>
  <si>
    <t>Operating costs</t>
  </si>
  <si>
    <t>Earnings Before Interest and Taxes (EBIT)</t>
  </si>
  <si>
    <t>% Corporation tax</t>
  </si>
  <si>
    <t>Corporation tax</t>
  </si>
  <si>
    <t>Net income</t>
  </si>
  <si>
    <t>Cost-effectiveness analysis</t>
  </si>
  <si>
    <t>Investement cost</t>
  </si>
  <si>
    <t>Net Cash Flow = CAF (Cash Flow)</t>
  </si>
  <si>
    <t>CAF at the end of the year</t>
  </si>
  <si>
    <t>Discounted CAF</t>
  </si>
  <si>
    <t>Cumulative CAF at the end of the year</t>
  </si>
  <si>
    <t>Discounted cumulative CAF at the end of the year</t>
  </si>
  <si>
    <t>Discount</t>
  </si>
  <si>
    <t>Period-end</t>
  </si>
  <si>
    <t>Net flows cum. inf.</t>
  </si>
  <si>
    <t xml:space="preserve">Discounted Net Cash Flow </t>
  </si>
  <si>
    <t>Year inf.</t>
  </si>
  <si>
    <t>Net Present Value (NPV)</t>
  </si>
  <si>
    <t>Year sup.</t>
  </si>
  <si>
    <t>Discounted NPV</t>
  </si>
  <si>
    <t>Net flows cum. sup.</t>
  </si>
  <si>
    <t>Internal Rate of Return (IRR)</t>
  </si>
  <si>
    <t>Var. net flows cum.</t>
  </si>
  <si>
    <t>Discounted IRR</t>
  </si>
  <si>
    <t>Payback period</t>
  </si>
  <si>
    <t>Discounted payback period</t>
  </si>
  <si>
    <t>Last known Turnover (2022)</t>
  </si>
  <si>
    <t>Reunion Commerciale Juillet22 - Copy.pptx</t>
  </si>
  <si>
    <t>ANALYTICAL INCOME ACCOUNT OVER 5 YEARS Linear depreciation
+25% Sales Increase</t>
  </si>
  <si>
    <t>➤ CRM : Statistiques et Chiffres Clés (2023) (sales-hacking.com) </t>
  </si>
  <si>
    <t>ANALYTICAL INCOME ACCOUNT OVER 5 YEARS Linear depreciation
+5% Sales Increase</t>
  </si>
  <si>
    <t>Consultant team cost</t>
  </si>
  <si>
    <t>HR cost in addition to consultant team</t>
  </si>
  <si>
    <t>HR cost in addition to consultant team (Prior studies)</t>
  </si>
  <si>
    <t>Daily gross salary/consultant</t>
  </si>
  <si>
    <t>Name and grade</t>
  </si>
  <si>
    <t>Daily Cost</t>
  </si>
  <si>
    <t>Workload Deployment</t>
  </si>
  <si>
    <t>Worload Prior studies</t>
  </si>
  <si>
    <t>HR cost in addition to consultant team (Deployment)</t>
  </si>
  <si>
    <t>Daily patronal cost/consultant</t>
  </si>
  <si>
    <t>Alexandre Gain (Vice-President)</t>
  </si>
  <si>
    <t>IT materials annual depreciation charge</t>
  </si>
  <si>
    <t>Estimated time of the project (in weeks)</t>
  </si>
  <si>
    <t>Gilles Sauvageon (Chief Financial Officer)</t>
  </si>
  <si>
    <t>Total estimated cost of the project</t>
  </si>
  <si>
    <t>Number of full-time work days per week and per consultant</t>
  </si>
  <si>
    <t>Philippe Bassot (Program Manager and Director Ekovya Consulting)</t>
  </si>
  <si>
    <t>Salesforce Sales Cloud License Professional Edition (annual price)</t>
  </si>
  <si>
    <t>Number of consultants</t>
  </si>
  <si>
    <t>Elizabeth Golovanov (Sales and Marketing and Director Ekovya Solutions)</t>
  </si>
  <si>
    <t>Number of users</t>
  </si>
  <si>
    <t>Total estimated cost of project's workload</t>
  </si>
  <si>
    <t>Lotfi Rebiai (Digital Marketing and Business Intelligence Expert)</t>
  </si>
  <si>
    <t>Total licenses</t>
  </si>
  <si>
    <t>Prior studies</t>
  </si>
  <si>
    <t>Alain Claude (Salesforce Expert)</t>
  </si>
  <si>
    <t>SAF Deployment (minus prior studies)</t>
  </si>
  <si>
    <t>Nancy Guenat (Communication Manager)</t>
  </si>
  <si>
    <t>Total cost of SIGMA Salesforce project</t>
  </si>
  <si>
    <t>Pierre Dauvergne (Communication External Consultant)</t>
  </si>
  <si>
    <t>HR Cost of SAP Integration</t>
  </si>
  <si>
    <t>Note: weeks 34 to 47, with an estimated room to manoeuver in weeks 48 to 49.</t>
  </si>
  <si>
    <t>Amortization cost of informatic material on a 5 years cycle.</t>
  </si>
  <si>
    <t>Material</t>
  </si>
  <si>
    <t>Quantity</t>
  </si>
  <si>
    <t>Price</t>
  </si>
  <si>
    <t>Sub-total</t>
  </si>
  <si>
    <t>Depreciation charge (20%]</t>
  </si>
  <si>
    <t>Lenovo Thinkpad</t>
  </si>
  <si>
    <t>Computer mouse</t>
  </si>
  <si>
    <t xml:space="preserve">Cost of SAP consultant for integration between Salesforce and SAP </t>
  </si>
  <si>
    <t>Daily patronal cost</t>
  </si>
  <si>
    <t>Number of days worked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</si>
</sst>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#,##0\ &quot;€&quot;;[Red]\-#,##0\ &quot;€&quot;"/>
    <numFmt numFmtId="43" formatCode="_-* #,##0.00_-;\-* #,##0.00_-;_-* &quot;-&quot;??_-;_-@_-"/>
    <numFmt numFmtId="164" formatCode="_(* #,##0_);_(* \(#,##0\);_(* &quot;-&quot;_);_(@_)"/>
    <numFmt numFmtId="165" formatCode="_-* #,##0.00\ _€_-;\-* #,##0.00\ _€_-;_-* &quot;-&quot;??\ _€_-;_-@_-"/>
    <numFmt numFmtId="166" formatCode="#&quot; an(s)&quot;"/>
    <numFmt numFmtId="167" formatCode="##&quot; mois&quot;"/>
    <numFmt numFmtId="168" formatCode="_([$€-2]\ * #,##0_);_([$€-2]\ * \(#,##0\);_([$€-2]\ * &quot;-&quot;??_);_(@_)"/>
    <numFmt numFmtId="169" formatCode="#,##0.00\ [$€-40C]"/>
    <numFmt numFmtId="170" formatCode="_-* #,##0\ [$€-40C]_-;\-* #,##0\ [$€-40C]_-;_-* &quot;-&quot;??\ [$€-40C]_-;_-@_-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b/>
      <i/>
      <sz val="12"/>
      <name val="Times New Roman"/>
      <family val="1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  <font>
      <b/>
      <sz val="11"/>
      <color theme="0"/>
      <name val="Calibri"/>
      <family val="2"/>
      <scheme val="minor"/>
    </font>
    <font>
      <sz val="12"/>
      <color rgb="FF000000"/>
      <name val="WordVisi_MSFontService"/>
      <charset val="1"/>
    </font>
    <font>
      <b/>
      <sz val="11"/>
      <color rgb="FF000000"/>
      <name val="Calibri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000000"/>
      <name val="Calibri"/>
      <scheme val="minor"/>
    </font>
    <font>
      <b/>
      <sz val="12"/>
      <color rgb="FF000000"/>
      <name val="Calibri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0000"/>
      <name val="Calibri"/>
      <charset val="1"/>
    </font>
    <font>
      <sz val="12"/>
      <color theme="1"/>
      <name val="Calibri"/>
      <family val="2"/>
      <scheme val="minor"/>
    </font>
    <font>
      <i/>
      <sz val="12"/>
      <color rgb="FF000000"/>
      <name val="Calibri"/>
      <charset val="1"/>
    </font>
    <font>
      <b/>
      <i/>
      <sz val="12"/>
      <color rgb="FF000000"/>
      <name val="Calibri"/>
      <scheme val="minor"/>
    </font>
  </fonts>
  <fills count="12">
    <fill>
      <patternFill patternType="none"/>
    </fill>
    <fill>
      <patternFill patternType="gray125"/>
    </fill>
    <fill>
      <patternFill patternType="gray0625"/>
    </fill>
    <fill>
      <patternFill patternType="solid">
        <fgColor theme="1" tint="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228">
    <xf numFmtId="0" fontId="0" fillId="0" borderId="0" xfId="0"/>
    <xf numFmtId="4" fontId="0" fillId="0" borderId="0" xfId="0" applyNumberFormat="1"/>
    <xf numFmtId="4" fontId="0" fillId="0" borderId="0" xfId="0" applyNumberFormat="1" applyAlignment="1">
      <alignment vertical="top" wrapText="1"/>
    </xf>
    <xf numFmtId="166" fontId="0" fillId="0" borderId="0" xfId="0" applyNumberFormat="1"/>
    <xf numFmtId="4" fontId="0" fillId="0" borderId="1" xfId="0" applyNumberFormat="1" applyBorder="1"/>
    <xf numFmtId="4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top" wrapText="1"/>
    </xf>
    <xf numFmtId="3" fontId="0" fillId="0" borderId="0" xfId="0" applyNumberFormat="1"/>
    <xf numFmtId="0" fontId="0" fillId="0" borderId="3" xfId="0" applyBorder="1"/>
    <xf numFmtId="0" fontId="0" fillId="0" borderId="4" xfId="0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2" xfId="0" applyBorder="1"/>
    <xf numFmtId="166" fontId="5" fillId="0" borderId="24" xfId="0" applyNumberFormat="1" applyFont="1" applyBorder="1"/>
    <xf numFmtId="167" fontId="5" fillId="0" borderId="25" xfId="0" applyNumberFormat="1" applyFont="1" applyBorder="1"/>
    <xf numFmtId="0" fontId="2" fillId="0" borderId="5" xfId="0" applyFont="1" applyBorder="1" applyAlignment="1">
      <alignment horizontal="right"/>
    </xf>
    <xf numFmtId="10" fontId="0" fillId="0" borderId="29" xfId="0" applyNumberFormat="1" applyBorder="1"/>
    <xf numFmtId="0" fontId="0" fillId="0" borderId="29" xfId="0" applyBorder="1"/>
    <xf numFmtId="4" fontId="0" fillId="0" borderId="29" xfId="0" applyNumberFormat="1" applyBorder="1" applyAlignment="1">
      <alignment horizontal="left" vertical="top" wrapText="1"/>
    </xf>
    <xf numFmtId="4" fontId="0" fillId="2" borderId="29" xfId="0" applyNumberFormat="1" applyFill="1" applyBorder="1" applyProtection="1">
      <protection locked="0"/>
    </xf>
    <xf numFmtId="0" fontId="5" fillId="0" borderId="29" xfId="0" applyFont="1" applyBorder="1"/>
    <xf numFmtId="4" fontId="0" fillId="0" borderId="29" xfId="0" applyNumberFormat="1" applyBorder="1" applyAlignment="1">
      <alignment horizontal="center" vertical="top" wrapText="1"/>
    </xf>
    <xf numFmtId="1" fontId="0" fillId="0" borderId="29" xfId="0" applyNumberFormat="1" applyBorder="1" applyAlignment="1">
      <alignment horizontal="center"/>
    </xf>
    <xf numFmtId="4" fontId="0" fillId="0" borderId="30" xfId="0" applyNumberFormat="1" applyBorder="1"/>
    <xf numFmtId="4" fontId="0" fillId="2" borderId="32" xfId="0" applyNumberFormat="1" applyFill="1" applyBorder="1" applyProtection="1">
      <protection locked="0"/>
    </xf>
    <xf numFmtId="4" fontId="0" fillId="3" borderId="29" xfId="0" applyNumberFormat="1" applyFill="1" applyBorder="1" applyAlignment="1">
      <alignment vertical="top" wrapText="1"/>
    </xf>
    <xf numFmtId="4" fontId="0" fillId="3" borderId="33" xfId="0" applyNumberFormat="1" applyFill="1" applyBorder="1" applyAlignment="1">
      <alignment vertical="top" wrapText="1"/>
    </xf>
    <xf numFmtId="4" fontId="0" fillId="3" borderId="34" xfId="0" applyNumberFormat="1" applyFill="1" applyBorder="1" applyAlignment="1">
      <alignment vertical="top" wrapText="1"/>
    </xf>
    <xf numFmtId="4" fontId="0" fillId="3" borderId="21" xfId="0" applyNumberFormat="1" applyFill="1" applyBorder="1" applyAlignment="1">
      <alignment vertical="top" wrapText="1"/>
    </xf>
    <xf numFmtId="164" fontId="2" fillId="0" borderId="20" xfId="0" applyNumberFormat="1" applyFont="1" applyBorder="1"/>
    <xf numFmtId="164" fontId="2" fillId="0" borderId="21" xfId="1" applyNumberFormat="1" applyFont="1" applyBorder="1"/>
    <xf numFmtId="164" fontId="0" fillId="0" borderId="8" xfId="0" applyNumberFormat="1" applyBorder="1"/>
    <xf numFmtId="164" fontId="0" fillId="0" borderId="9" xfId="1" applyNumberFormat="1" applyFont="1" applyBorder="1"/>
    <xf numFmtId="164" fontId="0" fillId="0" borderId="10" xfId="1" applyNumberFormat="1" applyFont="1" applyBorder="1"/>
    <xf numFmtId="164" fontId="0" fillId="0" borderId="26" xfId="0" applyNumberFormat="1" applyBorder="1"/>
    <xf numFmtId="164" fontId="0" fillId="0" borderId="27" xfId="1" applyNumberFormat="1" applyFont="1" applyBorder="1"/>
    <xf numFmtId="164" fontId="0" fillId="0" borderId="28" xfId="1" applyNumberFormat="1" applyFont="1" applyBorder="1"/>
    <xf numFmtId="164" fontId="0" fillId="0" borderId="0" xfId="0" applyNumberFormat="1"/>
    <xf numFmtId="164" fontId="0" fillId="0" borderId="12" xfId="0" applyNumberFormat="1" applyBorder="1"/>
    <xf numFmtId="164" fontId="0" fillId="0" borderId="13" xfId="0" applyNumberFormat="1" applyBorder="1"/>
    <xf numFmtId="164" fontId="2" fillId="0" borderId="17" xfId="0" applyNumberFormat="1" applyFont="1" applyBorder="1"/>
    <xf numFmtId="164" fontId="2" fillId="0" borderId="18" xfId="1" applyNumberFormat="1" applyFont="1" applyBorder="1"/>
    <xf numFmtId="164" fontId="2" fillId="0" borderId="19" xfId="1" applyNumberFormat="1" applyFont="1" applyBorder="1"/>
    <xf numFmtId="164" fontId="0" fillId="0" borderId="9" xfId="0" applyNumberFormat="1" applyBorder="1"/>
    <xf numFmtId="164" fontId="0" fillId="0" borderId="10" xfId="0" applyNumberFormat="1" applyBorder="1"/>
    <xf numFmtId="164" fontId="0" fillId="0" borderId="8" xfId="0" applyNumberFormat="1" applyBorder="1" applyAlignment="1">
      <alignment horizontal="left"/>
    </xf>
    <xf numFmtId="164" fontId="4" fillId="0" borderId="9" xfId="2" applyNumberFormat="1" applyFont="1" applyBorder="1" applyAlignment="1">
      <alignment horizontal="center"/>
    </xf>
    <xf numFmtId="164" fontId="4" fillId="0" borderId="10" xfId="2" applyNumberFormat="1" applyFont="1" applyBorder="1" applyAlignment="1">
      <alignment horizontal="center"/>
    </xf>
    <xf numFmtId="164" fontId="2" fillId="0" borderId="9" xfId="1" applyNumberFormat="1" applyFont="1" applyBorder="1"/>
    <xf numFmtId="164" fontId="2" fillId="0" borderId="22" xfId="0" applyNumberFormat="1" applyFont="1" applyBorder="1"/>
    <xf numFmtId="164" fontId="0" fillId="0" borderId="1" xfId="0" applyNumberFormat="1" applyBorder="1" applyAlignment="1">
      <alignment horizontal="center"/>
    </xf>
    <xf numFmtId="164" fontId="0" fillId="0" borderId="23" xfId="0" applyNumberFormat="1" applyBorder="1" applyAlignment="1">
      <alignment horizontal="center"/>
    </xf>
    <xf numFmtId="164" fontId="2" fillId="0" borderId="10" xfId="1" applyNumberFormat="1" applyFont="1" applyBorder="1"/>
    <xf numFmtId="164" fontId="0" fillId="0" borderId="11" xfId="0" applyNumberFormat="1" applyBorder="1"/>
    <xf numFmtId="0" fontId="0" fillId="0" borderId="35" xfId="0" applyBorder="1"/>
    <xf numFmtId="164" fontId="0" fillId="0" borderId="38" xfId="0" applyNumberFormat="1" applyBorder="1"/>
    <xf numFmtId="0" fontId="0" fillId="0" borderId="39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0" xfId="0" applyBorder="1"/>
    <xf numFmtId="9" fontId="0" fillId="0" borderId="45" xfId="0" applyNumberFormat="1" applyBorder="1"/>
    <xf numFmtId="0" fontId="2" fillId="4" borderId="31" xfId="0" applyFont="1" applyFill="1" applyBorder="1"/>
    <xf numFmtId="0" fontId="2" fillId="4" borderId="37" xfId="0" applyFont="1" applyFill="1" applyBorder="1"/>
    <xf numFmtId="0" fontId="2" fillId="4" borderId="42" xfId="0" applyFont="1" applyFill="1" applyBorder="1"/>
    <xf numFmtId="0" fontId="2" fillId="4" borderId="43" xfId="0" applyFont="1" applyFill="1" applyBorder="1"/>
    <xf numFmtId="0" fontId="2" fillId="4" borderId="36" xfId="0" applyFont="1" applyFill="1" applyBorder="1"/>
    <xf numFmtId="0" fontId="2" fillId="0" borderId="31" xfId="0" applyFont="1" applyBorder="1"/>
    <xf numFmtId="168" fontId="0" fillId="0" borderId="41" xfId="1" applyNumberFormat="1" applyFont="1" applyBorder="1"/>
    <xf numFmtId="168" fontId="0" fillId="4" borderId="29" xfId="0" applyNumberFormat="1" applyFill="1" applyBorder="1"/>
    <xf numFmtId="0" fontId="2" fillId="4" borderId="32" xfId="0" applyFont="1" applyFill="1" applyBorder="1"/>
    <xf numFmtId="0" fontId="2" fillId="4" borderId="33" xfId="0" applyFont="1" applyFill="1" applyBorder="1"/>
    <xf numFmtId="164" fontId="2" fillId="0" borderId="47" xfId="1" applyNumberFormat="1" applyFont="1" applyBorder="1"/>
    <xf numFmtId="4" fontId="2" fillId="0" borderId="18" xfId="1" applyNumberFormat="1" applyFont="1" applyBorder="1"/>
    <xf numFmtId="4" fontId="4" fillId="0" borderId="9" xfId="2" applyNumberFormat="1" applyFont="1" applyBorder="1" applyAlignment="1">
      <alignment horizontal="center"/>
    </xf>
    <xf numFmtId="4" fontId="0" fillId="0" borderId="9" xfId="1" applyNumberFormat="1" applyFont="1" applyBorder="1"/>
    <xf numFmtId="4" fontId="2" fillId="0" borderId="9" xfId="1" applyNumberFormat="1" applyFont="1" applyBorder="1"/>
    <xf numFmtId="4" fontId="0" fillId="0" borderId="9" xfId="0" applyNumberFormat="1" applyBorder="1"/>
    <xf numFmtId="0" fontId="0" fillId="0" borderId="0" xfId="0" applyAlignment="1">
      <alignment wrapText="1"/>
    </xf>
    <xf numFmtId="0" fontId="2" fillId="5" borderId="31" xfId="0" applyFont="1" applyFill="1" applyBorder="1"/>
    <xf numFmtId="164" fontId="2" fillId="5" borderId="48" xfId="1" applyNumberFormat="1" applyFont="1" applyFill="1" applyBorder="1"/>
    <xf numFmtId="164" fontId="2" fillId="0" borderId="49" xfId="1" applyNumberFormat="1" applyFont="1" applyBorder="1"/>
    <xf numFmtId="1" fontId="0" fillId="0" borderId="9" xfId="0" applyNumberFormat="1" applyBorder="1"/>
    <xf numFmtId="1" fontId="0" fillId="0" borderId="12" xfId="0" applyNumberFormat="1" applyBorder="1"/>
    <xf numFmtId="0" fontId="7" fillId="0" borderId="0" xfId="5"/>
    <xf numFmtId="0" fontId="7" fillId="0" borderId="42" xfId="5" applyBorder="1"/>
    <xf numFmtId="0" fontId="0" fillId="0" borderId="50" xfId="0" applyBorder="1"/>
    <xf numFmtId="0" fontId="7" fillId="0" borderId="44" xfId="5" applyBorder="1"/>
    <xf numFmtId="0" fontId="7" fillId="0" borderId="39" xfId="5" applyBorder="1"/>
    <xf numFmtId="0" fontId="2" fillId="0" borderId="42" xfId="0" applyFont="1" applyBorder="1"/>
    <xf numFmtId="1" fontId="0" fillId="0" borderId="10" xfId="0" applyNumberFormat="1" applyBorder="1"/>
    <xf numFmtId="1" fontId="0" fillId="0" borderId="13" xfId="0" applyNumberFormat="1" applyBorder="1"/>
    <xf numFmtId="3" fontId="0" fillId="0" borderId="1" xfId="0" applyNumberFormat="1" applyBorder="1" applyAlignment="1">
      <alignment horizontal="center"/>
    </xf>
    <xf numFmtId="0" fontId="5" fillId="0" borderId="29" xfId="0" applyFont="1" applyBorder="1" applyAlignment="1">
      <alignment horizontal="left" vertical="top" wrapText="1"/>
    </xf>
    <xf numFmtId="164" fontId="2" fillId="0" borderId="0" xfId="1" applyNumberFormat="1" applyFont="1" applyFill="1" applyBorder="1"/>
    <xf numFmtId="169" fontId="0" fillId="0" borderId="51" xfId="0" applyNumberFormat="1" applyBorder="1"/>
    <xf numFmtId="0" fontId="2" fillId="6" borderId="31" xfId="0" applyFont="1" applyFill="1" applyBorder="1"/>
    <xf numFmtId="0" fontId="0" fillId="6" borderId="36" xfId="0" applyFill="1" applyBorder="1"/>
    <xf numFmtId="0" fontId="2" fillId="6" borderId="29" xfId="0" applyFont="1" applyFill="1" applyBorder="1"/>
    <xf numFmtId="0" fontId="0" fillId="0" borderId="51" xfId="0" applyBorder="1"/>
    <xf numFmtId="0" fontId="2" fillId="0" borderId="0" xfId="0" applyFont="1"/>
    <xf numFmtId="6" fontId="0" fillId="0" borderId="33" xfId="0" applyNumberFormat="1" applyBorder="1"/>
    <xf numFmtId="169" fontId="2" fillId="6" borderId="51" xfId="0" applyNumberFormat="1" applyFont="1" applyFill="1" applyBorder="1"/>
    <xf numFmtId="0" fontId="8" fillId="0" borderId="29" xfId="0" applyFont="1" applyBorder="1"/>
    <xf numFmtId="6" fontId="0" fillId="0" borderId="32" xfId="0" applyNumberFormat="1" applyBorder="1"/>
    <xf numFmtId="169" fontId="2" fillId="6" borderId="29" xfId="0" applyNumberFormat="1" applyFont="1" applyFill="1" applyBorder="1"/>
    <xf numFmtId="6" fontId="2" fillId="6" borderId="29" xfId="0" applyNumberFormat="1" applyFont="1" applyFill="1" applyBorder="1"/>
    <xf numFmtId="0" fontId="2" fillId="6" borderId="33" xfId="0" applyFont="1" applyFill="1" applyBorder="1"/>
    <xf numFmtId="169" fontId="2" fillId="6" borderId="33" xfId="0" applyNumberFormat="1" applyFont="1" applyFill="1" applyBorder="1"/>
    <xf numFmtId="0" fontId="9" fillId="7" borderId="31" xfId="0" applyFont="1" applyFill="1" applyBorder="1"/>
    <xf numFmtId="169" fontId="9" fillId="7" borderId="29" xfId="0" applyNumberFormat="1" applyFont="1" applyFill="1" applyBorder="1"/>
    <xf numFmtId="0" fontId="10" fillId="0" borderId="0" xfId="0" applyFont="1" applyAlignment="1">
      <alignment horizontal="center" wrapText="1"/>
    </xf>
    <xf numFmtId="0" fontId="0" fillId="8" borderId="29" xfId="0" applyFill="1" applyBorder="1"/>
    <xf numFmtId="0" fontId="0" fillId="0" borderId="31" xfId="0" applyBorder="1"/>
    <xf numFmtId="6" fontId="0" fillId="0" borderId="31" xfId="0" applyNumberFormat="1" applyBorder="1"/>
    <xf numFmtId="6" fontId="0" fillId="0" borderId="29" xfId="0" applyNumberFormat="1" applyBorder="1"/>
    <xf numFmtId="169" fontId="0" fillId="0" borderId="0" xfId="0" applyNumberFormat="1"/>
    <xf numFmtId="169" fontId="2" fillId="0" borderId="0" xfId="0" applyNumberFormat="1" applyFont="1"/>
    <xf numFmtId="0" fontId="11" fillId="0" borderId="29" xfId="0" applyFont="1" applyBorder="1"/>
    <xf numFmtId="0" fontId="2" fillId="0" borderId="29" xfId="0" applyFont="1" applyBorder="1"/>
    <xf numFmtId="169" fontId="0" fillId="0" borderId="29" xfId="0" applyNumberFormat="1" applyBorder="1"/>
    <xf numFmtId="0" fontId="2" fillId="8" borderId="42" xfId="0" applyFont="1" applyFill="1" applyBorder="1"/>
    <xf numFmtId="0" fontId="0" fillId="8" borderId="50" xfId="0" applyFill="1" applyBorder="1"/>
    <xf numFmtId="6" fontId="0" fillId="0" borderId="0" xfId="0" applyNumberFormat="1"/>
    <xf numFmtId="169" fontId="0" fillId="8" borderId="29" xfId="0" applyNumberFormat="1" applyFill="1" applyBorder="1"/>
    <xf numFmtId="6" fontId="0" fillId="8" borderId="29" xfId="0" applyNumberFormat="1" applyFill="1" applyBorder="1"/>
    <xf numFmtId="0" fontId="0" fillId="6" borderId="29" xfId="0" applyFill="1" applyBorder="1"/>
    <xf numFmtId="169" fontId="0" fillId="6" borderId="29" xfId="0" applyNumberFormat="1" applyFill="1" applyBorder="1"/>
    <xf numFmtId="0" fontId="2" fillId="6" borderId="44" xfId="0" applyFont="1" applyFill="1" applyBorder="1"/>
    <xf numFmtId="169" fontId="0" fillId="0" borderId="32" xfId="0" applyNumberFormat="1" applyBorder="1"/>
    <xf numFmtId="0" fontId="0" fillId="6" borderId="37" xfId="0" applyFill="1" applyBorder="1"/>
    <xf numFmtId="0" fontId="2" fillId="0" borderId="45" xfId="0" applyFont="1" applyBorder="1"/>
    <xf numFmtId="170" fontId="2" fillId="6" borderId="29" xfId="0" applyNumberFormat="1" applyFont="1" applyFill="1" applyBorder="1"/>
    <xf numFmtId="170" fontId="0" fillId="0" borderId="29" xfId="0" applyNumberFormat="1" applyBorder="1"/>
    <xf numFmtId="170" fontId="0" fillId="0" borderId="32" xfId="0" applyNumberFormat="1" applyBorder="1"/>
    <xf numFmtId="1" fontId="0" fillId="0" borderId="46" xfId="1" applyNumberFormat="1" applyFont="1" applyBorder="1"/>
    <xf numFmtId="0" fontId="0" fillId="0" borderId="46" xfId="1" applyNumberFormat="1" applyFont="1" applyBorder="1"/>
    <xf numFmtId="0" fontId="0" fillId="4" borderId="37" xfId="0" applyFill="1" applyBorder="1"/>
    <xf numFmtId="0" fontId="0" fillId="4" borderId="36" xfId="0" applyFill="1" applyBorder="1"/>
    <xf numFmtId="164" fontId="0" fillId="0" borderId="51" xfId="0" applyNumberFormat="1" applyBorder="1"/>
    <xf numFmtId="164" fontId="0" fillId="0" borderId="33" xfId="0" applyNumberFormat="1" applyBorder="1"/>
    <xf numFmtId="168" fontId="0" fillId="0" borderId="0" xfId="1" applyNumberFormat="1" applyFont="1" applyBorder="1"/>
    <xf numFmtId="168" fontId="0" fillId="0" borderId="0" xfId="0" applyNumberFormat="1"/>
    <xf numFmtId="168" fontId="0" fillId="0" borderId="32" xfId="1" applyNumberFormat="1" applyFont="1" applyBorder="1"/>
    <xf numFmtId="164" fontId="0" fillId="0" borderId="44" xfId="0" applyNumberFormat="1" applyBorder="1"/>
    <xf numFmtId="164" fontId="0" fillId="0" borderId="39" xfId="0" applyNumberFormat="1" applyBorder="1"/>
    <xf numFmtId="0" fontId="2" fillId="4" borderId="50" xfId="0" applyFont="1" applyFill="1" applyBorder="1"/>
    <xf numFmtId="0" fontId="2" fillId="0" borderId="39" xfId="0" applyFont="1" applyBorder="1"/>
    <xf numFmtId="0" fontId="2" fillId="4" borderId="29" xfId="0" applyFont="1" applyFill="1" applyBorder="1"/>
    <xf numFmtId="168" fontId="0" fillId="0" borderId="51" xfId="1" applyNumberFormat="1" applyFont="1" applyBorder="1"/>
    <xf numFmtId="168" fontId="0" fillId="0" borderId="45" xfId="1" applyNumberFormat="1" applyFont="1" applyBorder="1"/>
    <xf numFmtId="168" fontId="0" fillId="0" borderId="50" xfId="1" applyNumberFormat="1" applyFont="1" applyBorder="1"/>
    <xf numFmtId="0" fontId="11" fillId="4" borderId="42" xfId="0" applyFont="1" applyFill="1" applyBorder="1" applyAlignment="1">
      <alignment wrapText="1"/>
    </xf>
    <xf numFmtId="0" fontId="2" fillId="4" borderId="50" xfId="0" applyFont="1" applyFill="1" applyBorder="1" applyAlignment="1">
      <alignment wrapText="1"/>
    </xf>
    <xf numFmtId="0" fontId="8" fillId="4" borderId="29" xfId="0" applyFont="1" applyFill="1" applyBorder="1" applyAlignment="1">
      <alignment wrapText="1"/>
    </xf>
    <xf numFmtId="0" fontId="2" fillId="4" borderId="51" xfId="0" applyFont="1" applyFill="1" applyBorder="1"/>
    <xf numFmtId="164" fontId="0" fillId="0" borderId="44" xfId="0" applyNumberFormat="1" applyBorder="1" applyAlignment="1">
      <alignment vertical="center"/>
    </xf>
    <xf numFmtId="164" fontId="0" fillId="0" borderId="39" xfId="0" applyNumberFormat="1" applyBorder="1" applyAlignment="1">
      <alignment vertical="center"/>
    </xf>
    <xf numFmtId="0" fontId="0" fillId="9" borderId="0" xfId="0" applyFill="1"/>
    <xf numFmtId="168" fontId="0" fillId="9" borderId="0" xfId="0" applyNumberFormat="1" applyFill="1"/>
    <xf numFmtId="0" fontId="0" fillId="0" borderId="29" xfId="0" applyBorder="1" applyAlignment="1">
      <alignment vertical="top"/>
    </xf>
    <xf numFmtId="0" fontId="0" fillId="0" borderId="29" xfId="0" applyBorder="1" applyAlignment="1">
      <alignment vertical="top" wrapText="1"/>
    </xf>
    <xf numFmtId="0" fontId="0" fillId="0" borderId="32" xfId="0" applyBorder="1" applyAlignment="1">
      <alignment vertical="top" wrapText="1"/>
    </xf>
    <xf numFmtId="0" fontId="12" fillId="4" borderId="31" xfId="0" applyFont="1" applyFill="1" applyBorder="1"/>
    <xf numFmtId="0" fontId="13" fillId="4" borderId="31" xfId="0" applyFont="1" applyFill="1" applyBorder="1"/>
    <xf numFmtId="0" fontId="12" fillId="4" borderId="39" xfId="0" applyFont="1" applyFill="1" applyBorder="1"/>
    <xf numFmtId="0" fontId="0" fillId="4" borderId="40" xfId="0" applyFill="1" applyBorder="1"/>
    <xf numFmtId="0" fontId="14" fillId="4" borderId="37" xfId="0" applyFont="1" applyFill="1" applyBorder="1"/>
    <xf numFmtId="164" fontId="0" fillId="0" borderId="32" xfId="0" applyNumberFormat="1" applyBorder="1"/>
    <xf numFmtId="168" fontId="0" fillId="0" borderId="43" xfId="1" applyNumberFormat="1" applyFont="1" applyBorder="1"/>
    <xf numFmtId="168" fontId="0" fillId="4" borderId="33" xfId="0" applyNumberFormat="1" applyFill="1" applyBorder="1"/>
    <xf numFmtId="164" fontId="0" fillId="0" borderId="42" xfId="0" applyNumberFormat="1" applyBorder="1"/>
    <xf numFmtId="168" fontId="0" fillId="0" borderId="33" xfId="1" applyNumberFormat="1" applyFont="1" applyBorder="1"/>
    <xf numFmtId="0" fontId="0" fillId="0" borderId="44" xfId="0" applyBorder="1" applyAlignment="1">
      <alignment wrapText="1"/>
    </xf>
    <xf numFmtId="0" fontId="0" fillId="0" borderId="39" xfId="0" applyBorder="1" applyAlignment="1">
      <alignment wrapText="1"/>
    </xf>
    <xf numFmtId="0" fontId="0" fillId="0" borderId="32" xfId="0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0" fillId="0" borderId="33" xfId="0" applyBorder="1" applyAlignment="1">
      <alignment vertical="center" wrapText="1"/>
    </xf>
    <xf numFmtId="168" fontId="0" fillId="0" borderId="51" xfId="0" applyNumberFormat="1" applyBorder="1"/>
    <xf numFmtId="9" fontId="0" fillId="4" borderId="32" xfId="0" applyNumberFormat="1" applyFill="1" applyBorder="1"/>
    <xf numFmtId="164" fontId="0" fillId="0" borderId="52" xfId="0" applyNumberFormat="1" applyBorder="1" applyAlignment="1">
      <alignment vertical="center"/>
    </xf>
    <xf numFmtId="0" fontId="0" fillId="0" borderId="53" xfId="0" applyBorder="1" applyAlignment="1">
      <alignment vertical="center" wrapText="1"/>
    </xf>
    <xf numFmtId="168" fontId="0" fillId="0" borderId="54" xfId="1" applyNumberFormat="1" applyFont="1" applyBorder="1"/>
    <xf numFmtId="0" fontId="13" fillId="4" borderId="29" xfId="0" applyFont="1" applyFill="1" applyBorder="1"/>
    <xf numFmtId="0" fontId="13" fillId="4" borderId="29" xfId="0" applyFont="1" applyFill="1" applyBorder="1" applyAlignment="1">
      <alignment horizontal="left"/>
    </xf>
    <xf numFmtId="0" fontId="0" fillId="0" borderId="37" xfId="0" applyBorder="1"/>
    <xf numFmtId="0" fontId="0" fillId="0" borderId="32" xfId="0" applyBorder="1"/>
    <xf numFmtId="0" fontId="0" fillId="6" borderId="50" xfId="0" applyFill="1" applyBorder="1"/>
    <xf numFmtId="170" fontId="0" fillId="0" borderId="33" xfId="0" applyNumberFormat="1" applyBorder="1"/>
    <xf numFmtId="0" fontId="2" fillId="6" borderId="42" xfId="0" applyFont="1" applyFill="1" applyBorder="1"/>
    <xf numFmtId="0" fontId="0" fillId="0" borderId="33" xfId="0" applyBorder="1"/>
    <xf numFmtId="0" fontId="0" fillId="6" borderId="42" xfId="0" applyFill="1" applyBorder="1"/>
    <xf numFmtId="0" fontId="0" fillId="6" borderId="43" xfId="0" applyFill="1" applyBorder="1"/>
    <xf numFmtId="10" fontId="10" fillId="0" borderId="0" xfId="0" applyNumberFormat="1" applyFont="1" applyAlignment="1">
      <alignment horizontal="center" wrapText="1"/>
    </xf>
    <xf numFmtId="10" fontId="0" fillId="0" borderId="0" xfId="0" applyNumberFormat="1"/>
    <xf numFmtId="0" fontId="0" fillId="10" borderId="3" xfId="0" applyFill="1" applyBorder="1"/>
    <xf numFmtId="10" fontId="0" fillId="10" borderId="29" xfId="0" applyNumberFormat="1" applyFill="1" applyBorder="1"/>
    <xf numFmtId="0" fontId="15" fillId="10" borderId="55" xfId="0" applyFont="1" applyFill="1" applyBorder="1"/>
    <xf numFmtId="0" fontId="0" fillId="10" borderId="56" xfId="0" applyFill="1" applyBorder="1"/>
    <xf numFmtId="0" fontId="14" fillId="4" borderId="35" xfId="0" applyFont="1" applyFill="1" applyBorder="1"/>
    <xf numFmtId="0" fontId="8" fillId="0" borderId="0" xfId="0" applyFont="1"/>
    <xf numFmtId="0" fontId="20" fillId="0" borderId="0" xfId="0" applyFont="1"/>
    <xf numFmtId="0" fontId="16" fillId="11" borderId="61" xfId="0" applyFont="1" applyFill="1" applyBorder="1"/>
    <xf numFmtId="0" fontId="17" fillId="11" borderId="62" xfId="0" applyFont="1" applyFill="1" applyBorder="1"/>
    <xf numFmtId="0" fontId="19" fillId="11" borderId="63" xfId="0" applyFont="1" applyFill="1" applyBorder="1" applyAlignment="1">
      <alignment horizontal="center"/>
    </xf>
    <xf numFmtId="0" fontId="21" fillId="11" borderId="64" xfId="0" applyFont="1" applyFill="1" applyBorder="1"/>
    <xf numFmtId="0" fontId="21" fillId="11" borderId="65" xfId="0" applyFont="1" applyFill="1" applyBorder="1"/>
    <xf numFmtId="0" fontId="16" fillId="11" borderId="64" xfId="0" applyFont="1" applyFill="1" applyBorder="1" applyAlignment="1">
      <alignment wrapText="1"/>
    </xf>
    <xf numFmtId="0" fontId="17" fillId="0" borderId="0" xfId="0" applyFont="1"/>
    <xf numFmtId="0" fontId="0" fillId="10" borderId="57" xfId="0" applyFill="1" applyBorder="1"/>
    <xf numFmtId="0" fontId="18" fillId="10" borderId="63" xfId="0" applyFont="1" applyFill="1" applyBorder="1" applyAlignment="1">
      <alignment horizontal="center"/>
    </xf>
    <xf numFmtId="0" fontId="15" fillId="10" borderId="58" xfId="0" applyFont="1" applyFill="1" applyBorder="1"/>
    <xf numFmtId="0" fontId="0" fillId="10" borderId="59" xfId="0" applyFill="1" applyBorder="1"/>
    <xf numFmtId="0" fontId="0" fillId="10" borderId="60" xfId="0" applyFill="1" applyBorder="1"/>
    <xf numFmtId="0" fontId="8" fillId="0" borderId="29" xfId="0" applyFont="1" applyBorder="1" applyAlignment="1">
      <alignment wrapText="1"/>
    </xf>
    <xf numFmtId="0" fontId="0" fillId="0" borderId="29" xfId="0" applyBorder="1" applyAlignment="1">
      <alignment wrapText="1"/>
    </xf>
    <xf numFmtId="0" fontId="0" fillId="0" borderId="31" xfId="0" applyBorder="1" applyAlignment="1">
      <alignment wrapText="1"/>
    </xf>
    <xf numFmtId="4" fontId="0" fillId="0" borderId="29" xfId="0" applyNumberFormat="1" applyBorder="1" applyAlignment="1">
      <alignment horizontal="center" vertic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164" fontId="6" fillId="0" borderId="14" xfId="0" applyNumberFormat="1" applyFont="1" applyBorder="1" applyAlignment="1">
      <alignment horizontal="center"/>
    </xf>
    <xf numFmtId="164" fontId="2" fillId="0" borderId="15" xfId="0" applyNumberFormat="1" applyFont="1" applyBorder="1" applyAlignment="1">
      <alignment horizontal="center"/>
    </xf>
    <xf numFmtId="164" fontId="2" fillId="0" borderId="16" xfId="0" applyNumberFormat="1" applyFont="1" applyBorder="1" applyAlignment="1">
      <alignment horizontal="center"/>
    </xf>
    <xf numFmtId="4" fontId="0" fillId="0" borderId="31" xfId="0" applyNumberFormat="1" applyBorder="1" applyAlignment="1">
      <alignment horizontal="center" vertical="center" wrapText="1"/>
    </xf>
    <xf numFmtId="4" fontId="0" fillId="0" borderId="32" xfId="0" applyNumberFormat="1" applyBorder="1" applyAlignment="1">
      <alignment horizontal="center" vertical="center" wrapText="1"/>
    </xf>
    <xf numFmtId="4" fontId="0" fillId="0" borderId="33" xfId="0" applyNumberFormat="1" applyBorder="1" applyAlignment="1">
      <alignment horizontal="center" vertical="center" wrapText="1"/>
    </xf>
  </cellXfs>
  <cellStyles count="6">
    <cellStyle name="Comma" xfId="1" builtinId="3"/>
    <cellStyle name="Hyperlink" xfId="5" builtinId="8"/>
    <cellStyle name="Milliers 2" xfId="4" xr:uid="{5A06C55F-60D2-45DE-ABAA-E29473115D10}"/>
    <cellStyle name="Normal" xfId="0" builtinId="0"/>
    <cellStyle name="Normal 2" xfId="3" xr:uid="{00000000-0005-0000-0000-000002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 PROJECT PROFIT 2023-2028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NPV</c:v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ED7D31"/>
              </a:solidFill>
              <a:ln w="9525">
                <a:solidFill>
                  <a:srgbClr val="ED7D31"/>
                </a:solidFill>
                <a:prstDash val="solid"/>
              </a:ln>
              <a:effectLst/>
            </c:spPr>
          </c:marker>
          <c:val>
            <c:numRef>
              <c:f>'ROI 40% version'!$B$30:$G$30</c:f>
              <c:numCache>
                <c:formatCode>0</c:formatCode>
                <c:ptCount val="6"/>
                <c:pt idx="0" formatCode="#,##0.00">
                  <c:v>-174000</c:v>
                </c:pt>
                <c:pt idx="1">
                  <c:v>-90200.831999999995</c:v>
                </c:pt>
                <c:pt idx="2">
                  <c:v>30229.215600000025</c:v>
                </c:pt>
                <c:pt idx="3" formatCode="_(* #,##0_);_(* \(#,##0\);_(* &quot;-&quot;_);_(@_)">
                  <c:v>166311.96360000005</c:v>
                </c:pt>
                <c:pt idx="4" formatCode="_(* #,##0_);_(* \(#,##0\);_(* &quot;-&quot;_);_(@_)">
                  <c:v>307952.36280000006</c:v>
                </c:pt>
                <c:pt idx="5" formatCode="_(* #,##0_);_(* \(#,##0\);_(* &quot;-&quot;_);_(@_)">
                  <c:v>451815.82248000009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86-40FA-82BA-926DDE9196E0}"/>
            </c:ext>
          </c:extLst>
        </c:ser>
        <c:ser>
          <c:idx val="1"/>
          <c:order val="1"/>
          <c:tx>
            <c:v>Discounted NPV</c:v>
          </c:tx>
          <c:spPr>
            <a:ln w="28575" cap="rnd">
              <a:solidFill>
                <a:srgbClr val="5B9B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5B9BD5"/>
              </a:solidFill>
              <a:ln w="9525">
                <a:solidFill>
                  <a:srgbClr val="5B9BD5"/>
                </a:solidFill>
                <a:prstDash val="solid"/>
              </a:ln>
              <a:effectLst/>
            </c:spPr>
          </c:marker>
          <c:val>
            <c:numRef>
              <c:f>'ROI 40% version'!$B$31:$G$31</c:f>
              <c:numCache>
                <c:formatCode>0</c:formatCode>
                <c:ptCount val="6"/>
                <c:pt idx="0" formatCode="#,##0.00">
                  <c:v>-174000</c:v>
                </c:pt>
                <c:pt idx="1">
                  <c:v>-90200.831999999995</c:v>
                </c:pt>
                <c:pt idx="2">
                  <c:v>30229.215600000025</c:v>
                </c:pt>
                <c:pt idx="3" formatCode="_(* #,##0_);_(* \(#,##0\);_(* &quot;-&quot;_);_(@_)">
                  <c:v>166311.96360000005</c:v>
                </c:pt>
                <c:pt idx="4" formatCode="_(* #,##0_);_(* \(#,##0\);_(* &quot;-&quot;_);_(@_)">
                  <c:v>307952.36280000006</c:v>
                </c:pt>
                <c:pt idx="5" formatCode="_(* #,##0_);_(* \(#,##0\);_(* &quot;-&quot;_);_(@_)">
                  <c:v>451815.82248000009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86-40FA-82BA-926DDE919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8375687"/>
        <c:axId val="1018385927"/>
      </c:lineChart>
      <c:catAx>
        <c:axId val="1018375687"/>
        <c:scaling>
          <c:orientation val="minMax"/>
        </c:scaling>
        <c:delete val="1"/>
        <c:axPos val="b"/>
        <c:numFmt formatCode="#,##0.00" sourceLinked="1"/>
        <c:majorTickMark val="none"/>
        <c:minorTickMark val="none"/>
        <c:tickLblPos val="low"/>
        <c:crossAx val="1018385927"/>
        <c:crosses val="autoZero"/>
        <c:auto val="1"/>
        <c:lblAlgn val="ctr"/>
        <c:lblOffset val="100"/>
        <c:noMultiLvlLbl val="0"/>
      </c:catAx>
      <c:valAx>
        <c:axId val="1018385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375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 PROJECT PROFIT 2023-2028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NPV</c:v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ED7D31"/>
              </a:solidFill>
              <a:ln w="9525">
                <a:solidFill>
                  <a:srgbClr val="ED7D31"/>
                </a:solidFill>
                <a:prstDash val="solid"/>
              </a:ln>
              <a:effectLst/>
            </c:spPr>
          </c:marker>
          <c:val>
            <c:numRef>
              <c:f>'ROI 25% version'!$B$30:$G$30</c:f>
              <c:numCache>
                <c:formatCode>0</c:formatCode>
                <c:ptCount val="6"/>
                <c:pt idx="0" formatCode="#,##0.00">
                  <c:v>-174000</c:v>
                </c:pt>
                <c:pt idx="1">
                  <c:v>-121462.62</c:v>
                </c:pt>
                <c:pt idx="2">
                  <c:v>-53689.146562499998</c:v>
                </c:pt>
                <c:pt idx="3" formatCode="_(* #,##0_);_(* \(#,##0\);_(* &quot;-&quot;_);_(@_)">
                  <c:v>18160.396406250002</c:v>
                </c:pt>
                <c:pt idx="4" formatCode="_(* #,##0_);_(* \(#,##0\);_(* &quot;-&quot;_);_(@_)">
                  <c:v>90857.969648437502</c:v>
                </c:pt>
                <c:pt idx="5" formatCode="_(* #,##0_);_(* \(#,##0\);_(* &quot;-&quot;_);_(@_)">
                  <c:v>163767.55045898439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9DB-4614-B74D-9193423D1DF2}"/>
            </c:ext>
          </c:extLst>
        </c:ser>
        <c:ser>
          <c:idx val="1"/>
          <c:order val="1"/>
          <c:tx>
            <c:v>Discounted NPV</c:v>
          </c:tx>
          <c:spPr>
            <a:ln w="28575" cap="rnd">
              <a:solidFill>
                <a:srgbClr val="5B9B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5B9BD5"/>
              </a:solidFill>
              <a:ln w="9525">
                <a:solidFill>
                  <a:srgbClr val="5B9BD5"/>
                </a:solidFill>
                <a:prstDash val="solid"/>
              </a:ln>
              <a:effectLst/>
            </c:spPr>
          </c:marker>
          <c:val>
            <c:numRef>
              <c:f>'ROI 25% version'!$B$31:$G$31</c:f>
              <c:numCache>
                <c:formatCode>0</c:formatCode>
                <c:ptCount val="6"/>
                <c:pt idx="0" formatCode="#,##0.00">
                  <c:v>-174000</c:v>
                </c:pt>
                <c:pt idx="1">
                  <c:v>-121462.62</c:v>
                </c:pt>
                <c:pt idx="2">
                  <c:v>-53689.146562499998</c:v>
                </c:pt>
                <c:pt idx="3" formatCode="_(* #,##0_);_(* \(#,##0\);_(* &quot;-&quot;_);_(@_)">
                  <c:v>18160.396406250002</c:v>
                </c:pt>
                <c:pt idx="4" formatCode="_(* #,##0_);_(* \(#,##0\);_(* &quot;-&quot;_);_(@_)">
                  <c:v>90857.969648437502</c:v>
                </c:pt>
                <c:pt idx="5" formatCode="_(* #,##0_);_(* \(#,##0\);_(* &quot;-&quot;_);_(@_)">
                  <c:v>163767.55045898439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9DB-4614-B74D-9193423D1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8375687"/>
        <c:axId val="1018385927"/>
      </c:lineChart>
      <c:catAx>
        <c:axId val="1018375687"/>
        <c:scaling>
          <c:orientation val="minMax"/>
        </c:scaling>
        <c:delete val="1"/>
        <c:axPos val="b"/>
        <c:numFmt formatCode="#,##0.00" sourceLinked="1"/>
        <c:majorTickMark val="none"/>
        <c:minorTickMark val="none"/>
        <c:tickLblPos val="low"/>
        <c:crossAx val="1018385927"/>
        <c:crosses val="autoZero"/>
        <c:auto val="1"/>
        <c:lblAlgn val="ctr"/>
        <c:lblOffset val="100"/>
        <c:noMultiLvlLbl val="0"/>
      </c:catAx>
      <c:valAx>
        <c:axId val="1018385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375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 PROJECT PROFIT 2023-2028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NPV</c:v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ED7D31"/>
              </a:solidFill>
              <a:ln w="9525">
                <a:solidFill>
                  <a:srgbClr val="ED7D31"/>
                </a:solidFill>
                <a:prstDash val="solid"/>
              </a:ln>
              <a:effectLst/>
            </c:spPr>
          </c:marker>
          <c:val>
            <c:numRef>
              <c:f>'ROI 5% version'!$B$30:$G$30</c:f>
              <c:numCache>
                <c:formatCode>0</c:formatCode>
                <c:ptCount val="6"/>
                <c:pt idx="0" formatCode="#,##0.00">
                  <c:v>-174000</c:v>
                </c:pt>
                <c:pt idx="1">
                  <c:v>-161618.60399999999</c:v>
                </c:pt>
                <c:pt idx="2">
                  <c:v>-149161.12766249999</c:v>
                </c:pt>
                <c:pt idx="3">
                  <c:v>-137121.46381874999</c:v>
                </c:pt>
                <c:pt idx="4">
                  <c:v>-125080.44312656249</c:v>
                </c:pt>
                <c:pt idx="5">
                  <c:v>-113039.35459195312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07-4F2F-830D-6D524B44D895}"/>
            </c:ext>
          </c:extLst>
        </c:ser>
        <c:ser>
          <c:idx val="1"/>
          <c:order val="1"/>
          <c:tx>
            <c:v>Discounted NPV</c:v>
          </c:tx>
          <c:spPr>
            <a:ln w="28575" cap="rnd">
              <a:solidFill>
                <a:srgbClr val="5B9B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5B9BD5"/>
              </a:solidFill>
              <a:ln w="9525">
                <a:solidFill>
                  <a:srgbClr val="5B9BD5"/>
                </a:solidFill>
                <a:prstDash val="solid"/>
              </a:ln>
              <a:effectLst/>
            </c:spPr>
          </c:marker>
          <c:val>
            <c:numRef>
              <c:f>'ROI 5% version'!$B$31:$G$31</c:f>
              <c:numCache>
                <c:formatCode>0</c:formatCode>
                <c:ptCount val="6"/>
                <c:pt idx="0" formatCode="#,##0.00">
                  <c:v>-174000</c:v>
                </c:pt>
                <c:pt idx="1">
                  <c:v>-161618.60399999999</c:v>
                </c:pt>
                <c:pt idx="2">
                  <c:v>-149161.12766249999</c:v>
                </c:pt>
                <c:pt idx="3">
                  <c:v>-137121.46381874999</c:v>
                </c:pt>
                <c:pt idx="4">
                  <c:v>-125080.44312656249</c:v>
                </c:pt>
                <c:pt idx="5">
                  <c:v>-113039.35459195312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07-4F2F-830D-6D524B44D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8375687"/>
        <c:axId val="1018385927"/>
      </c:lineChart>
      <c:catAx>
        <c:axId val="1018375687"/>
        <c:scaling>
          <c:orientation val="minMax"/>
        </c:scaling>
        <c:delete val="1"/>
        <c:axPos val="b"/>
        <c:numFmt formatCode="#,##0.00" sourceLinked="1"/>
        <c:majorTickMark val="none"/>
        <c:minorTickMark val="none"/>
        <c:tickLblPos val="low"/>
        <c:crossAx val="1018385927"/>
        <c:crosses val="autoZero"/>
        <c:auto val="1"/>
        <c:lblAlgn val="ctr"/>
        <c:lblOffset val="100"/>
        <c:noMultiLvlLbl val="0"/>
      </c:catAx>
      <c:valAx>
        <c:axId val="1018385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375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0</xdr:row>
      <xdr:rowOff>95250</xdr:rowOff>
    </xdr:from>
    <xdr:to>
      <xdr:col>14</xdr:col>
      <xdr:colOff>9525</xdr:colOff>
      <xdr:row>22</xdr:row>
      <xdr:rowOff>180975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1031FFE2-7FE5-461A-84B9-E9F40D4013F3}"/>
            </a:ext>
            <a:ext uri="{147F2762-F138-4A5C-976F-8EAC2B608ADB}">
              <a16:predDERef xmlns:a16="http://schemas.microsoft.com/office/drawing/2014/main" pred="{AE5F393B-4E38-4E82-AD45-FFB474AF34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0</xdr:row>
      <xdr:rowOff>95250</xdr:rowOff>
    </xdr:from>
    <xdr:to>
      <xdr:col>14</xdr:col>
      <xdr:colOff>9525</xdr:colOff>
      <xdr:row>22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0350B10-B584-5F99-4220-CCB5D06516FD}"/>
            </a:ext>
            <a:ext uri="{147F2762-F138-4A5C-976F-8EAC2B608ADB}">
              <a16:predDERef xmlns:a16="http://schemas.microsoft.com/office/drawing/2014/main" pred="{AE5F393B-4E38-4E82-AD45-FFB474AF34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1038225</xdr:colOff>
      <xdr:row>0</xdr:row>
      <xdr:rowOff>95250</xdr:rowOff>
    </xdr:from>
    <xdr:to>
      <xdr:col>15</xdr:col>
      <xdr:colOff>504825</xdr:colOff>
      <xdr:row>22</xdr:row>
      <xdr:rowOff>180975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29621280-BFC3-4B40-99ED-9E3B5B5416A3}"/>
            </a:ext>
            <a:ext uri="{147F2762-F138-4A5C-976F-8EAC2B608ADB}">
              <a16:predDERef xmlns:a16="http://schemas.microsoft.com/office/drawing/2014/main" pred="{AE5F393B-4E38-4E82-AD45-FFB474AF34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EUR%20CONSULTANT/Client/DL%20SYSTEME/Modules%20Formation/Outils/Cas%20pratique%20n&#176;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EUR%20CONSULTANT/Client/LAMACHE_IUT%20Lumi&#232;re%20Lyon2/Programme%20Gestion%20de%20Projet/2008%202009/Gestion%20de%20Projet%201/Travaux%20Dirig&#233;s/GdP_Contr&#244;le1_C3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"/>
      <sheetName val="Immo"/>
      <sheetName val="Calcul de prêt"/>
      <sheetName val="Equilibre financier (vierge)"/>
      <sheetName val="Résultats Trésorerie (vierge)"/>
      <sheetName val="Equilibre financier"/>
      <sheetName val="Résultats Trésorerie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ortissement"/>
      <sheetName val="Données"/>
      <sheetName val="Tableaux vierges"/>
      <sheetName val="CAF VAN M1 (L)"/>
      <sheetName val="CAF VAN M2 (L)"/>
      <sheetName val="CAF VAN M2 (L) Prix"/>
      <sheetName val="Décision"/>
      <sheetName val="Ques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ntreprise-sans-fautes.com/2019/08/5-facons-dont-crm-peut-augmenter-ventes.html" TargetMode="External"/><Relationship Id="rId2" Type="http://schemas.openxmlformats.org/officeDocument/2006/relationships/hyperlink" Target="https://www.sales-hacking.com/post/statistiques-crm" TargetMode="External"/><Relationship Id="rId1" Type="http://schemas.openxmlformats.org/officeDocument/2006/relationships/hyperlink" Target="https://blog.stratenet.com/100-statistiques-crm-tendances-pour-2022" TargetMode="External"/><Relationship Id="rId4" Type="http://schemas.openxmlformats.org/officeDocument/2006/relationships/hyperlink" Target="https://blog.hubspot.fr/sales/statistiques-prospection-commercial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ntreprise-sans-fautes.com/2019/08/5-facons-dont-crm-peut-augmenter-ventes.html" TargetMode="External"/><Relationship Id="rId2" Type="http://schemas.openxmlformats.org/officeDocument/2006/relationships/hyperlink" Target="https://www.sales-hacking.com/post/statistiques-crm" TargetMode="External"/><Relationship Id="rId1" Type="http://schemas.openxmlformats.org/officeDocument/2006/relationships/hyperlink" Target="https://blog.stratenet.com/100-statistiques-crm-tendances-pour-2022" TargetMode="External"/><Relationship Id="rId4" Type="http://schemas.openxmlformats.org/officeDocument/2006/relationships/hyperlink" Target="https://blog.hubspot.fr/sales/statistiques-prospection-commercial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ntreprise-sans-fautes.com/2019/08/5-facons-dont-crm-peut-augmenter-ventes.html" TargetMode="External"/><Relationship Id="rId2" Type="http://schemas.openxmlformats.org/officeDocument/2006/relationships/hyperlink" Target="https://www.sales-hacking.com/post/statistiques-crm" TargetMode="External"/><Relationship Id="rId1" Type="http://schemas.openxmlformats.org/officeDocument/2006/relationships/hyperlink" Target="https://blog.stratenet.com/100-statistiques-crm-tendances-pour-2022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edumotic.sharepoint.com/:p:/s/EKOVYA/EWYW2Kr5IjpAhWTFVqPW4h0BioUcIzDmo9y71njApgS-3Q?e=0xbvZf" TargetMode="External"/><Relationship Id="rId4" Type="http://schemas.openxmlformats.org/officeDocument/2006/relationships/hyperlink" Target="https://blog.hubspot.fr/sales/statistiques-prospection-commerciale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ntreprise-sans-fautes.com/2019/08/5-facons-dont-crm-peut-augmenter-ventes.html" TargetMode="External"/><Relationship Id="rId2" Type="http://schemas.openxmlformats.org/officeDocument/2006/relationships/hyperlink" Target="https://www.sales-hacking.com/post/statistiques-crm" TargetMode="External"/><Relationship Id="rId1" Type="http://schemas.openxmlformats.org/officeDocument/2006/relationships/hyperlink" Target="https://blog.stratenet.com/100-statistiques-crm-tendances-pour-2022" TargetMode="External"/><Relationship Id="rId6" Type="http://schemas.openxmlformats.org/officeDocument/2006/relationships/drawing" Target="../drawings/drawing2.xml"/><Relationship Id="rId5" Type="http://schemas.openxmlformats.org/officeDocument/2006/relationships/hyperlink" Target="https://edumotic.sharepoint.com/:p:/s/EKOVYA/EWYW2Kr5IjpAhWTFVqPW4h0BioUcIzDmo9y71njApgS-3Q?e=0xbvZf" TargetMode="External"/><Relationship Id="rId4" Type="http://schemas.openxmlformats.org/officeDocument/2006/relationships/hyperlink" Target="https://blog.hubspot.fr/sales/statistiques-prospection-commerciale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ntreprise-sans-fautes.com/2019/08/5-facons-dont-crm-peut-augmenter-ventes.html" TargetMode="External"/><Relationship Id="rId2" Type="http://schemas.openxmlformats.org/officeDocument/2006/relationships/hyperlink" Target="https://www.sales-hacking.com/post/statistiques-crm" TargetMode="External"/><Relationship Id="rId1" Type="http://schemas.openxmlformats.org/officeDocument/2006/relationships/hyperlink" Target="https://blog.stratenet.com/100-statistiques-crm-tendances-pour-2022" TargetMode="External"/><Relationship Id="rId6" Type="http://schemas.openxmlformats.org/officeDocument/2006/relationships/drawing" Target="../drawings/drawing3.xml"/><Relationship Id="rId5" Type="http://schemas.openxmlformats.org/officeDocument/2006/relationships/hyperlink" Target="https://edumotic.sharepoint.com/:p:/s/EKOVYA/EWYW2Kr5IjpAhWTFVqPW4h0BioUcIzDmo9y71njApgS-3Q?e=0xbvZf" TargetMode="External"/><Relationship Id="rId4" Type="http://schemas.openxmlformats.org/officeDocument/2006/relationships/hyperlink" Target="https://blog.hubspot.fr/sales/statistiques-prospection-commercia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1B792-DE7F-437B-A0E1-59F3B27A5414}">
  <dimension ref="A1:L56"/>
  <sheetViews>
    <sheetView topLeftCell="A15" workbookViewId="0">
      <selection activeCell="E23" sqref="E23:G26"/>
    </sheetView>
  </sheetViews>
  <sheetFormatPr defaultRowHeight="15"/>
  <cols>
    <col min="1" max="1" width="56.42578125" customWidth="1"/>
    <col min="2" max="2" width="37.5703125" customWidth="1"/>
    <col min="3" max="3" width="37.28515625" bestFit="1" customWidth="1"/>
    <col min="4" max="4" width="8.85546875" customWidth="1"/>
    <col min="5" max="6" width="34.42578125" customWidth="1"/>
    <col min="7" max="7" width="24.7109375" customWidth="1"/>
    <col min="10" max="10" width="17.28515625" customWidth="1"/>
    <col min="11" max="11" width="38.5703125" customWidth="1"/>
    <col min="12" max="12" width="43.140625" customWidth="1"/>
  </cols>
  <sheetData>
    <row r="1" spans="1:10" ht="18.75">
      <c r="A1" s="164" t="s">
        <v>0</v>
      </c>
      <c r="B1" s="139"/>
    </row>
    <row r="2" spans="1:10" ht="18.75">
      <c r="A2" s="166" t="s">
        <v>1</v>
      </c>
      <c r="B2" s="167"/>
    </row>
    <row r="4" spans="1:10" ht="21">
      <c r="A4" s="205" t="s">
        <v>2</v>
      </c>
      <c r="H4" s="202"/>
      <c r="I4" s="202"/>
      <c r="J4" s="202"/>
    </row>
    <row r="5" spans="1:10" ht="15.75">
      <c r="A5" s="203" t="s">
        <v>3</v>
      </c>
      <c r="B5" s="204"/>
      <c r="C5" s="209"/>
    </row>
    <row r="6" spans="1:10" ht="16.5">
      <c r="A6" s="208" t="s">
        <v>4</v>
      </c>
    </row>
    <row r="7" spans="1:10" ht="15.75">
      <c r="A7" s="206" t="s">
        <v>5</v>
      </c>
    </row>
    <row r="8" spans="1:10" ht="15.75">
      <c r="A8" s="207" t="s">
        <v>6</v>
      </c>
    </row>
    <row r="9" spans="1:10">
      <c r="E9" s="201"/>
    </row>
    <row r="10" spans="1:10">
      <c r="E10" s="201"/>
    </row>
    <row r="11" spans="1:10" ht="21">
      <c r="A11" s="211" t="s">
        <v>7</v>
      </c>
      <c r="E11" s="201"/>
    </row>
    <row r="12" spans="1:10" ht="15.75">
      <c r="A12" s="212" t="s">
        <v>8</v>
      </c>
      <c r="B12" s="213"/>
      <c r="C12" s="214"/>
      <c r="E12" s="201"/>
    </row>
    <row r="13" spans="1:10" ht="15.75">
      <c r="A13" s="198" t="s">
        <v>9</v>
      </c>
      <c r="B13" s="199"/>
      <c r="C13" s="210"/>
      <c r="E13" s="201"/>
    </row>
    <row r="15" spans="1:10" ht="31.5">
      <c r="A15" s="165" t="s">
        <v>10</v>
      </c>
      <c r="B15" s="138"/>
      <c r="C15" s="138"/>
      <c r="D15" s="167"/>
      <c r="E15" s="200"/>
      <c r="F15" s="200"/>
      <c r="G15" s="168"/>
      <c r="H15" s="139"/>
    </row>
    <row r="16" spans="1:10">
      <c r="A16" s="159"/>
      <c r="B16" s="159"/>
      <c r="C16" s="159"/>
      <c r="D16" s="159"/>
      <c r="E16" s="159"/>
      <c r="F16" s="159"/>
      <c r="G16" s="159"/>
      <c r="H16" s="159"/>
    </row>
    <row r="17" spans="1:12" ht="31.5">
      <c r="A17" s="185" t="s">
        <v>11</v>
      </c>
      <c r="B17" s="159"/>
      <c r="C17" s="159"/>
      <c r="D17" s="159"/>
      <c r="E17" s="184" t="s">
        <v>12</v>
      </c>
      <c r="F17" s="159"/>
      <c r="G17" s="159"/>
      <c r="H17" s="159"/>
    </row>
    <row r="18" spans="1:12">
      <c r="A18" s="159"/>
      <c r="B18" s="159"/>
      <c r="C18" s="159"/>
      <c r="D18" s="159"/>
      <c r="E18" s="159"/>
      <c r="F18" s="159"/>
      <c r="G18" s="159"/>
      <c r="H18" s="159"/>
    </row>
    <row r="19" spans="1:12">
      <c r="A19" s="65" t="s">
        <v>13</v>
      </c>
      <c r="B19" s="66"/>
      <c r="C19" s="147"/>
      <c r="D19" s="159"/>
      <c r="E19" s="65" t="s">
        <v>14</v>
      </c>
      <c r="F19" s="66"/>
      <c r="G19" s="147"/>
      <c r="H19" s="159"/>
      <c r="J19" s="65" t="s">
        <v>14</v>
      </c>
      <c r="K19" s="66"/>
      <c r="L19" s="147"/>
    </row>
    <row r="20" spans="1:12">
      <c r="A20" s="149" t="s">
        <v>15</v>
      </c>
      <c r="B20" s="71" t="s">
        <v>16</v>
      </c>
      <c r="C20" s="71" t="s">
        <v>17</v>
      </c>
      <c r="D20" s="159"/>
      <c r="E20" s="149" t="s">
        <v>15</v>
      </c>
      <c r="F20" s="149" t="s">
        <v>16</v>
      </c>
      <c r="G20" s="71" t="s">
        <v>18</v>
      </c>
      <c r="H20" s="159"/>
      <c r="J20" s="71" t="s">
        <v>15</v>
      </c>
      <c r="K20" s="71" t="s">
        <v>16</v>
      </c>
      <c r="L20" s="71" t="s">
        <v>18</v>
      </c>
    </row>
    <row r="21" spans="1:12" ht="137.25">
      <c r="A21" s="157" t="s">
        <v>19</v>
      </c>
      <c r="B21" s="176" t="s">
        <v>20</v>
      </c>
      <c r="C21" s="152">
        <v>25176</v>
      </c>
      <c r="D21" s="159"/>
      <c r="E21" s="163" t="s">
        <v>21</v>
      </c>
      <c r="F21" s="163" t="s">
        <v>22</v>
      </c>
      <c r="G21" s="163" t="s">
        <v>23</v>
      </c>
      <c r="H21" s="159"/>
      <c r="J21" s="162" t="s">
        <v>24</v>
      </c>
      <c r="K21" s="162" t="s">
        <v>25</v>
      </c>
      <c r="L21" s="163" t="s">
        <v>26</v>
      </c>
    </row>
    <row r="22" spans="1:12" ht="91.5">
      <c r="A22" s="181" t="s">
        <v>27</v>
      </c>
      <c r="B22" s="182" t="s">
        <v>28</v>
      </c>
      <c r="C22" s="183">
        <f>C24/2</f>
        <v>7180</v>
      </c>
      <c r="D22" s="159"/>
      <c r="E22" s="161" t="s">
        <v>29</v>
      </c>
      <c r="F22" s="162" t="s">
        <v>30</v>
      </c>
      <c r="G22" s="161" t="s">
        <v>31</v>
      </c>
      <c r="H22" s="159"/>
      <c r="J22" s="215" t="s">
        <v>32</v>
      </c>
      <c r="K22" s="217" t="s">
        <v>33</v>
      </c>
      <c r="L22" s="216" t="s">
        <v>34</v>
      </c>
    </row>
    <row r="23" spans="1:12" ht="30.75">
      <c r="A23" s="157" t="s">
        <v>35</v>
      </c>
      <c r="B23" s="177" t="s">
        <v>20</v>
      </c>
      <c r="C23" s="151">
        <v>124584</v>
      </c>
      <c r="D23" s="159"/>
      <c r="E23" s="159"/>
      <c r="F23" s="159"/>
      <c r="G23" s="159"/>
      <c r="H23" s="159"/>
    </row>
    <row r="24" spans="1:12" ht="45.75">
      <c r="A24" s="158" t="s">
        <v>36</v>
      </c>
      <c r="B24" s="178" t="s">
        <v>28</v>
      </c>
      <c r="C24" s="151">
        <v>14360</v>
      </c>
      <c r="D24" s="159"/>
      <c r="E24" s="159"/>
      <c r="F24" s="159"/>
      <c r="G24" s="159"/>
      <c r="H24" s="159"/>
    </row>
    <row r="25" spans="1:12">
      <c r="B25" s="148" t="s">
        <v>37</v>
      </c>
      <c r="C25" s="70">
        <f>SUM(C21:C24)</f>
        <v>171300</v>
      </c>
      <c r="D25" s="159"/>
      <c r="E25" s="159"/>
      <c r="F25" s="159"/>
      <c r="G25" s="159"/>
      <c r="H25" s="159"/>
    </row>
    <row r="26" spans="1:12">
      <c r="A26" s="159"/>
      <c r="B26" s="159"/>
      <c r="C26" s="159"/>
      <c r="D26" s="159"/>
      <c r="E26" s="159"/>
      <c r="F26" s="159"/>
      <c r="G26" s="159"/>
      <c r="H26" s="159"/>
    </row>
    <row r="27" spans="1:12" ht="45.75">
      <c r="A27" s="153" t="s">
        <v>38</v>
      </c>
      <c r="B27" s="155" t="s">
        <v>39</v>
      </c>
      <c r="C27" s="154"/>
      <c r="D27" s="159"/>
      <c r="E27" s="65" t="s">
        <v>40</v>
      </c>
      <c r="F27" s="66"/>
      <c r="G27" s="147"/>
      <c r="H27" s="159"/>
    </row>
    <row r="28" spans="1:12">
      <c r="A28" s="71" t="s">
        <v>15</v>
      </c>
      <c r="B28" s="156" t="s">
        <v>16</v>
      </c>
      <c r="C28" s="71" t="s">
        <v>17</v>
      </c>
      <c r="D28" s="159"/>
      <c r="E28" s="149" t="s">
        <v>15</v>
      </c>
      <c r="F28" s="149" t="s">
        <v>16</v>
      </c>
      <c r="G28" s="71" t="s">
        <v>18</v>
      </c>
      <c r="H28" s="159"/>
    </row>
    <row r="29" spans="1:12">
      <c r="A29" s="172" t="s">
        <v>41</v>
      </c>
      <c r="B29" s="57" t="s">
        <v>42</v>
      </c>
      <c r="C29" s="144">
        <f>C38*1.2</f>
        <v>2400</v>
      </c>
      <c r="D29" s="159"/>
      <c r="E29" s="169" t="s">
        <v>43</v>
      </c>
      <c r="F29" s="169" t="s">
        <v>44</v>
      </c>
      <c r="G29" s="180" t="s">
        <v>45</v>
      </c>
      <c r="H29" s="159"/>
    </row>
    <row r="30" spans="1:12">
      <c r="A30" s="145" t="s">
        <v>46</v>
      </c>
      <c r="B30" s="59"/>
      <c r="C30" s="150"/>
      <c r="D30" s="159"/>
      <c r="E30" s="159"/>
      <c r="F30" s="159"/>
      <c r="G30" s="159"/>
      <c r="H30" s="159"/>
    </row>
    <row r="31" spans="1:12" ht="45.75">
      <c r="A31" s="145" t="s">
        <v>47</v>
      </c>
      <c r="B31" s="174" t="s">
        <v>48</v>
      </c>
      <c r="C31" s="150">
        <f>C39*1.2</f>
        <v>6000</v>
      </c>
      <c r="D31" s="159"/>
      <c r="E31" s="159"/>
      <c r="F31" s="159"/>
      <c r="G31" s="159"/>
      <c r="H31" s="159"/>
    </row>
    <row r="32" spans="1:12">
      <c r="A32" s="145" t="s">
        <v>49</v>
      </c>
      <c r="B32" s="59" t="s">
        <v>50</v>
      </c>
      <c r="C32" s="150">
        <f>C40</f>
        <v>3600</v>
      </c>
      <c r="D32" s="159"/>
      <c r="E32" s="159"/>
      <c r="F32" s="159"/>
      <c r="G32" s="159"/>
      <c r="H32" s="159"/>
    </row>
    <row r="33" spans="1:8" ht="45.75">
      <c r="A33" s="146" t="s">
        <v>51</v>
      </c>
      <c r="B33" s="175" t="s">
        <v>52</v>
      </c>
      <c r="C33" s="173">
        <f>C41</f>
        <v>34260</v>
      </c>
      <c r="D33" s="159"/>
      <c r="E33" s="159"/>
      <c r="F33" s="159"/>
      <c r="G33" s="159"/>
      <c r="H33" s="159"/>
    </row>
    <row r="34" spans="1:8">
      <c r="B34" s="148" t="s">
        <v>37</v>
      </c>
      <c r="C34" s="171">
        <f>SUM(C29:C33)</f>
        <v>46260</v>
      </c>
      <c r="D34" s="159"/>
      <c r="E34" s="159"/>
      <c r="F34" s="159"/>
      <c r="G34" s="159"/>
      <c r="H34" s="159"/>
    </row>
    <row r="35" spans="1:8">
      <c r="A35" s="159"/>
      <c r="B35" s="160"/>
      <c r="C35" s="159"/>
      <c r="D35" s="159"/>
      <c r="E35" s="159"/>
      <c r="F35" s="159"/>
      <c r="G35" s="159"/>
      <c r="H35" s="159"/>
    </row>
    <row r="36" spans="1:8">
      <c r="A36" s="63" t="s">
        <v>53</v>
      </c>
      <c r="B36" s="138"/>
      <c r="C36" s="67"/>
      <c r="D36" s="159"/>
      <c r="E36" s="159"/>
      <c r="F36" s="159"/>
      <c r="G36" s="159"/>
      <c r="H36" s="159"/>
    </row>
    <row r="37" spans="1:8">
      <c r="A37" s="156" t="s">
        <v>15</v>
      </c>
      <c r="B37" s="156" t="s">
        <v>16</v>
      </c>
      <c r="C37" s="156" t="s">
        <v>17</v>
      </c>
      <c r="D37" s="159"/>
      <c r="E37" s="159"/>
      <c r="F37" s="159"/>
      <c r="G37" s="159"/>
      <c r="H37" s="159"/>
    </row>
    <row r="38" spans="1:8">
      <c r="A38" s="172" t="s">
        <v>54</v>
      </c>
      <c r="B38" s="57" t="s">
        <v>55</v>
      </c>
      <c r="C38" s="144">
        <v>2000</v>
      </c>
      <c r="D38" s="159"/>
      <c r="E38" s="159"/>
      <c r="F38" s="159"/>
      <c r="G38" s="159"/>
      <c r="H38" s="159"/>
    </row>
    <row r="39" spans="1:8" ht="45.75">
      <c r="A39" s="145" t="s">
        <v>47</v>
      </c>
      <c r="B39" s="174" t="s">
        <v>56</v>
      </c>
      <c r="C39" s="179">
        <v>5000</v>
      </c>
      <c r="D39" s="159"/>
      <c r="E39" s="159"/>
      <c r="F39" s="159"/>
      <c r="G39" s="159"/>
      <c r="H39" s="159"/>
    </row>
    <row r="40" spans="1:8">
      <c r="A40" s="145" t="s">
        <v>49</v>
      </c>
      <c r="B40" s="59" t="s">
        <v>50</v>
      </c>
      <c r="C40" s="179">
        <f t="shared" ref="C40" si="0">75*4*12</f>
        <v>3600</v>
      </c>
      <c r="D40" s="159"/>
      <c r="E40" s="159"/>
      <c r="F40" s="159"/>
      <c r="G40" s="159"/>
      <c r="H40" s="159"/>
    </row>
    <row r="41" spans="1:8" ht="45.75">
      <c r="A41" s="146" t="s">
        <v>51</v>
      </c>
      <c r="B41" s="175" t="s">
        <v>52</v>
      </c>
      <c r="C41" s="173">
        <v>34260</v>
      </c>
      <c r="D41" s="159"/>
      <c r="E41" s="159"/>
      <c r="F41" s="159"/>
      <c r="G41" s="159"/>
      <c r="H41" s="159"/>
    </row>
    <row r="42" spans="1:8">
      <c r="B42" s="148" t="s">
        <v>37</v>
      </c>
      <c r="C42" s="171">
        <f>SUM(C38:C41)</f>
        <v>44860</v>
      </c>
      <c r="D42" s="159"/>
      <c r="E42" s="159"/>
      <c r="F42" s="159"/>
      <c r="G42" s="159"/>
      <c r="H42" s="159"/>
    </row>
    <row r="43" spans="1:8">
      <c r="A43" s="159"/>
      <c r="B43" s="159"/>
      <c r="C43" s="159"/>
      <c r="D43" s="159"/>
      <c r="E43" s="159"/>
      <c r="F43" s="159"/>
      <c r="G43" s="159"/>
      <c r="H43" s="159"/>
    </row>
    <row r="52" spans="1:2">
      <c r="A52" s="90" t="s">
        <v>57</v>
      </c>
      <c r="B52" s="87"/>
    </row>
    <row r="53" spans="1:2">
      <c r="A53" s="86" t="s">
        <v>58</v>
      </c>
      <c r="B53" s="87"/>
    </row>
    <row r="54" spans="1:2">
      <c r="A54" s="88" t="s">
        <v>59</v>
      </c>
      <c r="B54" s="60"/>
    </row>
    <row r="55" spans="1:2">
      <c r="A55" s="88" t="s">
        <v>60</v>
      </c>
      <c r="B55" s="60"/>
    </row>
    <row r="56" spans="1:2">
      <c r="A56" s="89" t="s">
        <v>61</v>
      </c>
      <c r="B56" s="61"/>
    </row>
  </sheetData>
  <hyperlinks>
    <hyperlink ref="A53" r:id="rId1" location=":~:text=Les%20utilisateurs%20de%20CRM%20connaissent%20une%20augmentation%20du,impulsifs%20apr%C3%A8s%20avoir%20re%C3%A7u%20une%20exp%C3%A9rience%20plus%20personnalis%C3%A9e." xr:uid="{E0101975-90CC-482C-923D-23387ED3138D}"/>
    <hyperlink ref="A54" r:id="rId2" location="am%C3%A9lioration-des-ventes" xr:uid="{F9E6F85E-F928-4549-AFBA-438BBFDBD19E}"/>
    <hyperlink ref="A55" r:id="rId3" xr:uid="{5D7A5876-048D-418E-965C-9036189B5A29}"/>
    <hyperlink ref="A56" r:id="rId4" xr:uid="{BF47DF97-7A3D-4FF5-A987-3D2554027BC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E4C75-82E2-48BD-87E3-2BB1FDEE9ADE}">
  <dimension ref="A1:J16"/>
  <sheetViews>
    <sheetView workbookViewId="0">
      <selection activeCell="A6" sqref="A6"/>
    </sheetView>
  </sheetViews>
  <sheetFormatPr defaultRowHeight="15"/>
  <cols>
    <col min="1" max="1" width="47" customWidth="1"/>
    <col min="2" max="2" width="13.5703125" bestFit="1" customWidth="1"/>
    <col min="3" max="3" width="37.28515625" bestFit="1" customWidth="1"/>
    <col min="4" max="4" width="37.28515625" customWidth="1"/>
    <col min="5" max="5" width="22.7109375" customWidth="1"/>
    <col min="6" max="6" width="12.42578125" bestFit="1" customWidth="1"/>
    <col min="9" max="9" width="17.28515625" customWidth="1"/>
    <col min="10" max="10" width="17" customWidth="1"/>
  </cols>
  <sheetData>
    <row r="1" spans="1:10" ht="18.75">
      <c r="A1" s="166" t="s">
        <v>62</v>
      </c>
    </row>
    <row r="2" spans="1:10">
      <c r="A2" s="72" t="s">
        <v>0</v>
      </c>
    </row>
    <row r="4" spans="1:10">
      <c r="A4" s="63" t="s">
        <v>13</v>
      </c>
      <c r="B4" s="64"/>
      <c r="C4" s="65" t="s">
        <v>63</v>
      </c>
      <c r="D4" s="67"/>
      <c r="E4" s="66" t="s">
        <v>53</v>
      </c>
      <c r="F4" s="66"/>
      <c r="G4" s="65" t="s">
        <v>64</v>
      </c>
      <c r="H4" s="66"/>
      <c r="I4" s="63" t="s">
        <v>40</v>
      </c>
      <c r="J4" s="67"/>
    </row>
    <row r="5" spans="1:10">
      <c r="A5" s="31" t="s">
        <v>19</v>
      </c>
      <c r="B5" s="69">
        <v>25176</v>
      </c>
      <c r="C5" s="169" t="s">
        <v>54</v>
      </c>
      <c r="D5" s="170">
        <f>F5*1.2</f>
        <v>2400</v>
      </c>
      <c r="E5" s="169" t="s">
        <v>54</v>
      </c>
      <c r="F5" s="170">
        <v>2000</v>
      </c>
      <c r="G5" s="57" t="s">
        <v>65</v>
      </c>
      <c r="H5" s="58"/>
      <c r="I5" s="55" t="s">
        <v>43</v>
      </c>
      <c r="J5" s="62" t="s">
        <v>66</v>
      </c>
    </row>
    <row r="6" spans="1:10">
      <c r="A6" s="31" t="s">
        <v>27</v>
      </c>
      <c r="B6" s="69">
        <f>B8/2</f>
        <v>7180</v>
      </c>
      <c r="C6" s="140" t="s">
        <v>51</v>
      </c>
      <c r="D6" s="170">
        <f t="shared" ref="D6:D8" si="0">F6*1.2</f>
        <v>41112</v>
      </c>
      <c r="E6" s="140" t="s">
        <v>51</v>
      </c>
      <c r="F6" s="142">
        <v>34260</v>
      </c>
      <c r="G6" s="59"/>
      <c r="I6" s="59"/>
      <c r="J6" s="60"/>
    </row>
    <row r="7" spans="1:10">
      <c r="A7" s="31" t="s">
        <v>35</v>
      </c>
      <c r="B7" s="69">
        <v>124584</v>
      </c>
      <c r="C7" s="140" t="s">
        <v>49</v>
      </c>
      <c r="D7" s="170">
        <f t="shared" si="0"/>
        <v>4320</v>
      </c>
      <c r="E7" s="140" t="s">
        <v>49</v>
      </c>
      <c r="F7" s="143">
        <f t="shared" ref="D7:F7" si="1">75*4*12</f>
        <v>3600</v>
      </c>
      <c r="G7" s="59"/>
      <c r="I7" s="59"/>
      <c r="J7" s="60"/>
    </row>
    <row r="8" spans="1:10">
      <c r="A8" s="31" t="s">
        <v>36</v>
      </c>
      <c r="B8" s="69">
        <v>14360</v>
      </c>
      <c r="C8" s="141" t="s">
        <v>47</v>
      </c>
      <c r="D8" s="170">
        <f t="shared" si="0"/>
        <v>6000</v>
      </c>
      <c r="E8" s="141" t="s">
        <v>47</v>
      </c>
      <c r="F8" s="143">
        <v>5000</v>
      </c>
      <c r="G8" s="59"/>
      <c r="I8" s="59"/>
      <c r="J8" s="60"/>
    </row>
    <row r="9" spans="1:10">
      <c r="A9" s="68" t="s">
        <v>67</v>
      </c>
      <c r="B9" s="70">
        <f>SUM(B5:B8)</f>
        <v>171300</v>
      </c>
      <c r="D9" s="70">
        <f>SUM(D5:D8)</f>
        <v>53832</v>
      </c>
      <c r="F9" s="70">
        <f>SUM(F5:F8)</f>
        <v>44860</v>
      </c>
      <c r="G9" s="54"/>
      <c r="H9" s="54"/>
      <c r="I9" s="56"/>
      <c r="J9" s="61"/>
    </row>
    <row r="12" spans="1:10">
      <c r="A12" s="90" t="s">
        <v>57</v>
      </c>
      <c r="B12" s="87"/>
    </row>
    <row r="13" spans="1:10">
      <c r="A13" s="86" t="s">
        <v>58</v>
      </c>
      <c r="B13" s="87"/>
    </row>
    <row r="14" spans="1:10">
      <c r="A14" s="88" t="s">
        <v>59</v>
      </c>
      <c r="B14" s="60"/>
    </row>
    <row r="15" spans="1:10">
      <c r="A15" s="88" t="s">
        <v>60</v>
      </c>
      <c r="B15" s="60"/>
    </row>
    <row r="16" spans="1:10">
      <c r="A16" s="89" t="s">
        <v>61</v>
      </c>
      <c r="B16" s="61"/>
    </row>
  </sheetData>
  <hyperlinks>
    <hyperlink ref="A13" r:id="rId1" location=":~:text=Les%20utilisateurs%20de%20CRM%20connaissent%20une%20augmentation%20du,impulsifs%20apr%C3%A8s%20avoir%20re%C3%A7u%20une%20exp%C3%A9rience%20plus%20personnalis%C3%A9e." xr:uid="{B2D35BEA-1E13-415E-B6EE-7ABDE96A6391}"/>
    <hyperlink ref="A14" r:id="rId2" location="am%C3%A9lioration-des-ventes" xr:uid="{9B8849B2-604C-45B5-84E3-15D7CEB0BB3C}"/>
    <hyperlink ref="A15" r:id="rId3" xr:uid="{FCF31214-5158-46BF-9C92-84DC454E54FA}"/>
    <hyperlink ref="A16" r:id="rId4" xr:uid="{2DCD6B3A-3B59-4045-AA81-6527227EFD7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F6D84-2FAC-40FD-82A3-00ECBF8B7C53}">
  <dimension ref="A1:Q46"/>
  <sheetViews>
    <sheetView workbookViewId="0">
      <selection activeCell="F11" sqref="F11"/>
    </sheetView>
  </sheetViews>
  <sheetFormatPr defaultRowHeight="15"/>
  <cols>
    <col min="1" max="1" width="46.5703125" customWidth="1"/>
    <col min="2" max="2" width="14.42578125" bestFit="1" customWidth="1"/>
    <col min="3" max="3" width="15.7109375" customWidth="1"/>
    <col min="4" max="5" width="13.5703125" bestFit="1" customWidth="1"/>
    <col min="6" max="7" width="15.140625" bestFit="1" customWidth="1"/>
    <col min="10" max="10" width="15.85546875" customWidth="1"/>
    <col min="11" max="12" width="14.85546875" customWidth="1"/>
    <col min="13" max="13" width="17.140625" customWidth="1"/>
    <col min="14" max="14" width="23.28515625" customWidth="1"/>
    <col min="15" max="15" width="17.140625" customWidth="1"/>
  </cols>
  <sheetData>
    <row r="1" spans="1:8" ht="34.5" customHeight="1">
      <c r="A1" s="219" t="s">
        <v>68</v>
      </c>
      <c r="B1" s="220"/>
      <c r="C1" s="220"/>
      <c r="D1" s="220"/>
      <c r="E1" s="220"/>
      <c r="F1" s="220"/>
      <c r="G1" s="221"/>
    </row>
    <row r="2" spans="1:8">
      <c r="A2" s="15" t="s">
        <v>69</v>
      </c>
      <c r="B2" s="10">
        <v>2023</v>
      </c>
      <c r="C2" s="10">
        <f>B2+1</f>
        <v>2024</v>
      </c>
      <c r="D2" s="10">
        <f t="shared" ref="D2:G2" si="0">C2+1</f>
        <v>2025</v>
      </c>
      <c r="E2" s="10">
        <f t="shared" si="0"/>
        <v>2026</v>
      </c>
      <c r="F2" s="10">
        <f t="shared" si="0"/>
        <v>2027</v>
      </c>
      <c r="G2" s="11">
        <f t="shared" si="0"/>
        <v>2028</v>
      </c>
      <c r="H2" s="79"/>
    </row>
    <row r="3" spans="1:8">
      <c r="A3" s="29" t="s">
        <v>13</v>
      </c>
      <c r="B3" s="30">
        <f>SUM(B4:B7)</f>
        <v>171300</v>
      </c>
      <c r="C3" s="30"/>
      <c r="D3" s="30"/>
      <c r="E3" s="30"/>
      <c r="F3" s="30"/>
      <c r="G3" s="82"/>
    </row>
    <row r="4" spans="1:8">
      <c r="A4" s="31" t="s">
        <v>19</v>
      </c>
      <c r="B4" s="32">
        <v>25176</v>
      </c>
      <c r="C4" s="32"/>
      <c r="D4" s="32"/>
      <c r="E4" s="32"/>
      <c r="F4" s="32"/>
      <c r="G4" s="33"/>
    </row>
    <row r="5" spans="1:8">
      <c r="A5" s="31" t="s">
        <v>27</v>
      </c>
      <c r="B5" s="32">
        <f>B7/2</f>
        <v>7180</v>
      </c>
      <c r="C5" s="32"/>
      <c r="D5" s="32"/>
      <c r="E5" s="32"/>
      <c r="F5" s="32"/>
      <c r="G5" s="33"/>
    </row>
    <row r="6" spans="1:8">
      <c r="A6" s="31" t="s">
        <v>35</v>
      </c>
      <c r="B6" s="32">
        <v>124584</v>
      </c>
      <c r="C6" s="32"/>
      <c r="D6" s="32"/>
      <c r="E6" s="32"/>
      <c r="F6" s="32"/>
      <c r="G6" s="33"/>
    </row>
    <row r="7" spans="1:8">
      <c r="A7" s="34" t="s">
        <v>36</v>
      </c>
      <c r="B7" s="35">
        <v>14360</v>
      </c>
      <c r="C7" s="35"/>
      <c r="D7" s="35"/>
      <c r="E7" s="35"/>
      <c r="F7" s="35"/>
      <c r="G7" s="36"/>
    </row>
    <row r="8" spans="1:8">
      <c r="A8" s="37"/>
      <c r="B8" s="37"/>
      <c r="C8" s="38"/>
      <c r="D8" s="38"/>
      <c r="E8" s="38"/>
      <c r="F8" s="38"/>
      <c r="G8" s="39"/>
    </row>
    <row r="9" spans="1:8">
      <c r="A9" s="222" t="s">
        <v>70</v>
      </c>
      <c r="B9" s="223"/>
      <c r="C9" s="223"/>
      <c r="D9" s="223"/>
      <c r="E9" s="223"/>
      <c r="F9" s="223"/>
      <c r="G9" s="224"/>
    </row>
    <row r="10" spans="1:8">
      <c r="A10" s="40" t="s">
        <v>71</v>
      </c>
      <c r="B10" s="41"/>
      <c r="C10" s="41">
        <f>SUM(C11)</f>
        <v>115784.40000000001</v>
      </c>
      <c r="D10" s="41">
        <f t="shared" ref="D10:G10" si="1">SUM(D11)</f>
        <v>162098.16000000003</v>
      </c>
      <c r="E10" s="41">
        <f t="shared" si="1"/>
        <v>180623.66400000002</v>
      </c>
      <c r="F10" s="41">
        <f t="shared" si="1"/>
        <v>188033.86560000002</v>
      </c>
      <c r="G10" s="73">
        <f t="shared" si="1"/>
        <v>190997.94624000002</v>
      </c>
    </row>
    <row r="11" spans="1:8">
      <c r="A11" s="31" t="s">
        <v>72</v>
      </c>
      <c r="C11" s="32">
        <f>B39*40%</f>
        <v>115784.40000000001</v>
      </c>
      <c r="D11" s="32">
        <f>($B$39+C11)*40%</f>
        <v>162098.16000000003</v>
      </c>
      <c r="E11" s="32">
        <f t="shared" ref="E11:G11" si="2">($B$39+D11)*40%</f>
        <v>180623.66400000002</v>
      </c>
      <c r="F11" s="32">
        <f t="shared" si="2"/>
        <v>188033.86560000002</v>
      </c>
      <c r="G11" s="32">
        <f t="shared" si="2"/>
        <v>190997.94624000002</v>
      </c>
    </row>
    <row r="12" spans="1:8">
      <c r="A12" s="31" t="s">
        <v>73</v>
      </c>
      <c r="B12" s="32" t="s">
        <v>65</v>
      </c>
      <c r="C12" s="37"/>
      <c r="D12" s="32"/>
      <c r="E12" s="32"/>
      <c r="F12" s="32"/>
      <c r="G12" s="33"/>
    </row>
    <row r="13" spans="1:8">
      <c r="A13" s="31" t="s">
        <v>74</v>
      </c>
      <c r="B13" s="32" t="s">
        <v>65</v>
      </c>
      <c r="D13" s="32"/>
      <c r="E13" s="32"/>
      <c r="F13" s="32"/>
      <c r="G13" s="33"/>
    </row>
    <row r="14" spans="1:8">
      <c r="A14" s="31" t="s">
        <v>75</v>
      </c>
      <c r="B14" s="32" t="s">
        <v>65</v>
      </c>
      <c r="D14" s="32"/>
      <c r="E14" s="32"/>
      <c r="F14" s="32"/>
      <c r="G14" s="33"/>
    </row>
    <row r="15" spans="1:8">
      <c r="A15" s="31"/>
      <c r="B15" s="43"/>
      <c r="C15" s="43"/>
      <c r="D15" s="43"/>
      <c r="E15" s="43"/>
      <c r="F15" s="43"/>
      <c r="G15" s="44"/>
    </row>
    <row r="16" spans="1:8">
      <c r="A16" s="40" t="s">
        <v>76</v>
      </c>
      <c r="B16" s="41">
        <f>SUM(B17:B21)</f>
        <v>3600</v>
      </c>
      <c r="C16" s="41">
        <f t="shared" ref="C16:G16" si="3">SUM(C17:C21)</f>
        <v>46980</v>
      </c>
      <c r="D16" s="41">
        <f t="shared" si="3"/>
        <v>44860</v>
      </c>
      <c r="E16" s="41">
        <f t="shared" si="3"/>
        <v>44860</v>
      </c>
      <c r="F16" s="41">
        <f t="shared" si="3"/>
        <v>44860</v>
      </c>
      <c r="G16" s="42">
        <f t="shared" si="3"/>
        <v>44860</v>
      </c>
    </row>
    <row r="17" spans="1:17">
      <c r="A17" s="31" t="s">
        <v>54</v>
      </c>
      <c r="B17" s="32"/>
      <c r="C17" s="136">
        <f>E17*1.2</f>
        <v>2400</v>
      </c>
      <c r="D17" s="32">
        <v>2000</v>
      </c>
      <c r="E17" s="32">
        <v>2000</v>
      </c>
      <c r="F17" s="32">
        <v>2000</v>
      </c>
      <c r="G17" s="32">
        <v>2000</v>
      </c>
    </row>
    <row r="18" spans="1:17">
      <c r="A18" s="31" t="s">
        <v>51</v>
      </c>
      <c r="B18" s="32"/>
      <c r="C18" s="32">
        <f t="shared" ref="C18:G18" si="4">$B$3*20%</f>
        <v>34260</v>
      </c>
      <c r="D18" s="32">
        <f t="shared" si="4"/>
        <v>34260</v>
      </c>
      <c r="E18" s="32">
        <f t="shared" si="4"/>
        <v>34260</v>
      </c>
      <c r="F18" s="32">
        <f t="shared" si="4"/>
        <v>34260</v>
      </c>
      <c r="G18" s="32">
        <f t="shared" si="4"/>
        <v>34260</v>
      </c>
    </row>
    <row r="19" spans="1:17">
      <c r="A19" s="31" t="s">
        <v>49</v>
      </c>
      <c r="B19" s="43">
        <f>75*4*12</f>
        <v>3600</v>
      </c>
      <c r="C19" s="136">
        <f t="shared" ref="C18:C20" si="5">E19*1.2</f>
        <v>4320</v>
      </c>
      <c r="D19" s="43">
        <f t="shared" ref="C19:G19" si="6">75*4*12</f>
        <v>3600</v>
      </c>
      <c r="E19" s="43">
        <f t="shared" si="6"/>
        <v>3600</v>
      </c>
      <c r="F19" s="43">
        <f t="shared" si="6"/>
        <v>3600</v>
      </c>
      <c r="G19" s="43">
        <f t="shared" si="6"/>
        <v>3600</v>
      </c>
    </row>
    <row r="20" spans="1:17">
      <c r="A20" s="31" t="s">
        <v>47</v>
      </c>
      <c r="B20" s="43"/>
      <c r="C20" s="136">
        <f t="shared" si="5"/>
        <v>6000</v>
      </c>
      <c r="D20" s="43">
        <v>5000</v>
      </c>
      <c r="E20" s="43">
        <v>5000</v>
      </c>
      <c r="F20" s="43">
        <v>5000</v>
      </c>
      <c r="G20" s="43">
        <v>5000</v>
      </c>
    </row>
    <row r="21" spans="1:17">
      <c r="A21" s="31"/>
      <c r="B21" s="43"/>
      <c r="C21" s="43"/>
      <c r="D21" s="43"/>
      <c r="E21" s="43"/>
      <c r="F21" s="43"/>
      <c r="G21" s="44"/>
    </row>
    <row r="22" spans="1:17">
      <c r="A22" s="40" t="s">
        <v>77</v>
      </c>
      <c r="B22" s="74">
        <f>B10-B16</f>
        <v>-3600</v>
      </c>
      <c r="C22" s="41">
        <f>C10-C16</f>
        <v>68804.400000000009</v>
      </c>
      <c r="D22" s="41">
        <f>D10-D16</f>
        <v>117238.16000000003</v>
      </c>
      <c r="E22" s="41">
        <f>E10-E16</f>
        <v>135763.66400000002</v>
      </c>
      <c r="F22" s="41">
        <f>F10-F16</f>
        <v>143173.86560000002</v>
      </c>
      <c r="G22" s="42">
        <f>G10-G16</f>
        <v>146137.94624000002</v>
      </c>
    </row>
    <row r="23" spans="1:17">
      <c r="A23" s="45" t="s">
        <v>78</v>
      </c>
      <c r="B23" s="75"/>
      <c r="C23" s="46"/>
      <c r="D23" s="46"/>
      <c r="E23" s="46"/>
      <c r="F23" s="46"/>
      <c r="G23" s="47"/>
    </row>
    <row r="24" spans="1:17">
      <c r="A24" s="31" t="s">
        <v>79</v>
      </c>
      <c r="B24" s="76">
        <f>B22*25%</f>
        <v>-900</v>
      </c>
      <c r="C24" s="32">
        <f>C22*28%</f>
        <v>19265.232000000004</v>
      </c>
      <c r="D24" s="32">
        <f>D22*26.5%</f>
        <v>31068.112400000009</v>
      </c>
      <c r="E24" s="32">
        <f>E22*25%</f>
        <v>33940.916000000005</v>
      </c>
      <c r="F24" s="32">
        <f t="shared" ref="F24:G24" si="7">F22*25%</f>
        <v>35793.466400000005</v>
      </c>
      <c r="G24" s="33">
        <f t="shared" si="7"/>
        <v>36534.486560000005</v>
      </c>
    </row>
    <row r="25" spans="1:17">
      <c r="A25" s="31" t="s">
        <v>80</v>
      </c>
      <c r="B25" s="77">
        <f>B22-B24</f>
        <v>-2700</v>
      </c>
      <c r="C25" s="48">
        <f t="shared" ref="C25:G25" si="8">C22-C24</f>
        <v>49539.168000000005</v>
      </c>
      <c r="D25" s="48">
        <f t="shared" si="8"/>
        <v>86170.04760000002</v>
      </c>
      <c r="E25" s="48">
        <f t="shared" si="8"/>
        <v>101822.74800000002</v>
      </c>
      <c r="F25" s="48">
        <f t="shared" si="8"/>
        <v>107380.39920000001</v>
      </c>
      <c r="G25" s="48">
        <f t="shared" si="8"/>
        <v>109603.45968000001</v>
      </c>
    </row>
    <row r="26" spans="1:17" ht="20.25" customHeight="1">
      <c r="A26" s="49" t="s">
        <v>81</v>
      </c>
      <c r="B26" s="93">
        <v>0</v>
      </c>
      <c r="C26" s="50">
        <v>1</v>
      </c>
      <c r="D26" s="50">
        <v>2</v>
      </c>
      <c r="E26" s="50">
        <v>3</v>
      </c>
      <c r="F26" s="50">
        <v>4</v>
      </c>
      <c r="G26" s="51">
        <v>5</v>
      </c>
      <c r="J26" s="18" t="s">
        <v>82</v>
      </c>
      <c r="K26" s="19">
        <f>-B29</f>
        <v>174000</v>
      </c>
      <c r="L26" s="24">
        <f>-B31</f>
        <v>174000</v>
      </c>
      <c r="M26" s="1"/>
      <c r="N26" s="1"/>
      <c r="O26" s="1"/>
    </row>
    <row r="27" spans="1:17" ht="15.75" customHeight="1">
      <c r="A27" s="31" t="s">
        <v>83</v>
      </c>
      <c r="B27" s="77">
        <f>B25+B18-B3</f>
        <v>-174000</v>
      </c>
      <c r="C27" s="48">
        <f>C25+C18-C3</f>
        <v>83799.168000000005</v>
      </c>
      <c r="D27" s="48">
        <f>D25+D18-D3</f>
        <v>120430.04760000002</v>
      </c>
      <c r="E27" s="48">
        <f>E25+E18-E3</f>
        <v>136082.74800000002</v>
      </c>
      <c r="F27" s="48">
        <f>F25+F18-F3</f>
        <v>141640.39920000001</v>
      </c>
      <c r="G27" s="52">
        <f>G25+G18-G3</f>
        <v>143863.45968000003</v>
      </c>
      <c r="J27" s="20" t="str">
        <f>IF(K26&gt;M34,"Attention !!! Projet non rentable","")</f>
        <v/>
      </c>
      <c r="K27" s="225" t="s">
        <v>84</v>
      </c>
      <c r="L27" s="218" t="s">
        <v>85</v>
      </c>
      <c r="M27" s="218" t="s">
        <v>86</v>
      </c>
      <c r="N27" s="218" t="s">
        <v>87</v>
      </c>
    </row>
    <row r="28" spans="1:17">
      <c r="A28" s="31" t="s">
        <v>88</v>
      </c>
      <c r="B28" s="75"/>
      <c r="C28" s="43"/>
      <c r="D28" s="43"/>
      <c r="E28" s="43"/>
      <c r="F28" s="43"/>
      <c r="G28" s="44"/>
      <c r="J28" s="21" t="s">
        <v>89</v>
      </c>
      <c r="K28" s="225"/>
      <c r="L28" s="218"/>
      <c r="M28" s="218"/>
      <c r="N28" s="218"/>
      <c r="O28" s="5" t="s">
        <v>90</v>
      </c>
      <c r="P28" s="6">
        <f>LOOKUP(K26,M29:M34)</f>
        <v>83799.168000000005</v>
      </c>
      <c r="Q28" s="6">
        <f>LOOKUP(L26,N29:N34)</f>
        <v>83799.168000000005</v>
      </c>
    </row>
    <row r="29" spans="1:17">
      <c r="A29" s="31" t="s">
        <v>91</v>
      </c>
      <c r="B29" s="78">
        <f>B27/POWER(1+$B$28,B26)</f>
        <v>-174000</v>
      </c>
      <c r="C29" s="43">
        <f t="shared" ref="C29:G29" si="9">C27/POWER(1+$B$28,C26)</f>
        <v>83799.168000000005</v>
      </c>
      <c r="D29" s="43">
        <f t="shared" si="9"/>
        <v>120430.04760000002</v>
      </c>
      <c r="E29" s="43">
        <f t="shared" si="9"/>
        <v>136082.74800000002</v>
      </c>
      <c r="F29" s="43">
        <f t="shared" si="9"/>
        <v>141640.39920000001</v>
      </c>
      <c r="G29" s="43">
        <f t="shared" si="9"/>
        <v>143863.45968000003</v>
      </c>
      <c r="J29" s="22">
        <f>B28</f>
        <v>0</v>
      </c>
      <c r="K29" s="25">
        <v>0</v>
      </c>
      <c r="L29" s="26"/>
      <c r="M29" s="27">
        <v>0</v>
      </c>
      <c r="N29" s="28">
        <v>0</v>
      </c>
      <c r="O29" s="1" t="s">
        <v>92</v>
      </c>
      <c r="P29" s="7">
        <f>LOOKUP(K26,M29:M34,J29:J34)</f>
        <v>1</v>
      </c>
      <c r="Q29" s="7">
        <f>LOOKUP(L26,N29:N34,J29:J34)</f>
        <v>1</v>
      </c>
    </row>
    <row r="30" spans="1:17" ht="15.75" customHeight="1">
      <c r="A30" s="31" t="s">
        <v>93</v>
      </c>
      <c r="B30" s="78">
        <f>B27</f>
        <v>-174000</v>
      </c>
      <c r="C30" s="83">
        <f>B30+C27</f>
        <v>-90200.831999999995</v>
      </c>
      <c r="D30" s="83">
        <f t="shared" ref="D30:G30" si="10">C30+D27</f>
        <v>30229.215600000025</v>
      </c>
      <c r="E30" s="43">
        <f t="shared" si="10"/>
        <v>166311.96360000005</v>
      </c>
      <c r="F30" s="43">
        <f t="shared" si="10"/>
        <v>307952.36280000006</v>
      </c>
      <c r="G30" s="44">
        <f t="shared" si="10"/>
        <v>451815.82248000009</v>
      </c>
      <c r="J30" s="22">
        <v>1</v>
      </c>
      <c r="K30" s="19">
        <f>C27</f>
        <v>83799.168000000005</v>
      </c>
      <c r="L30" s="19">
        <f>C29</f>
        <v>83799.168000000005</v>
      </c>
      <c r="M30" s="23">
        <f>K30</f>
        <v>83799.168000000005</v>
      </c>
      <c r="N30" s="4">
        <f>L30</f>
        <v>83799.168000000005</v>
      </c>
      <c r="O30" s="1" t="s">
        <v>94</v>
      </c>
      <c r="P30" s="7">
        <f>P29+1</f>
        <v>2</v>
      </c>
      <c r="Q30" s="7">
        <f>Q29+1</f>
        <v>2</v>
      </c>
    </row>
    <row r="31" spans="1:17" ht="15" customHeight="1">
      <c r="A31" s="53" t="s">
        <v>95</v>
      </c>
      <c r="B31" s="78">
        <f>B30</f>
        <v>-174000</v>
      </c>
      <c r="C31" s="83">
        <f>B31+C29</f>
        <v>-90200.831999999995</v>
      </c>
      <c r="D31" s="84">
        <f t="shared" ref="D31:G31" si="11">C31+D29</f>
        <v>30229.215600000025</v>
      </c>
      <c r="E31" s="38">
        <f t="shared" si="11"/>
        <v>166311.96360000005</v>
      </c>
      <c r="F31" s="38">
        <f t="shared" si="11"/>
        <v>307952.36280000006</v>
      </c>
      <c r="G31" s="39">
        <f t="shared" si="11"/>
        <v>451815.82248000009</v>
      </c>
      <c r="J31" s="22">
        <v>2</v>
      </c>
      <c r="K31" s="19">
        <f>D27</f>
        <v>120430.04760000002</v>
      </c>
      <c r="L31" s="19">
        <f>D29</f>
        <v>120430.04760000002</v>
      </c>
      <c r="M31" s="23">
        <f>M30+K31</f>
        <v>204229.21560000003</v>
      </c>
      <c r="N31" s="4">
        <f>N30+L31</f>
        <v>204229.21560000003</v>
      </c>
      <c r="O31" s="2" t="s">
        <v>96</v>
      </c>
      <c r="P31" s="7">
        <f>LOOKUP(P30,J29:J34,M29:M34)</f>
        <v>204229.21560000003</v>
      </c>
      <c r="Q31" s="7">
        <f>LOOKUP(Q30,J29:J34,N29:N34)</f>
        <v>204229.21560000003</v>
      </c>
    </row>
    <row r="32" spans="1:17">
      <c r="A32" s="12" t="s">
        <v>97</v>
      </c>
      <c r="B32" s="16">
        <f>IRR(B27:G27)</f>
        <v>0.57667358295283733</v>
      </c>
      <c r="C32" s="17"/>
      <c r="J32" s="22">
        <v>3</v>
      </c>
      <c r="K32" s="19">
        <f>E27</f>
        <v>136082.74800000002</v>
      </c>
      <c r="L32" s="19">
        <f>E29</f>
        <v>136082.74800000002</v>
      </c>
      <c r="M32" s="23">
        <f t="shared" ref="M32:M33" si="12">M31+K32</f>
        <v>340311.96360000002</v>
      </c>
      <c r="N32" s="4">
        <f>N31+L32</f>
        <v>340311.96360000002</v>
      </c>
      <c r="O32" s="1" t="s">
        <v>98</v>
      </c>
      <c r="P32" s="7">
        <f>P31-P28</f>
        <v>120430.04760000002</v>
      </c>
      <c r="Q32" s="7">
        <f>Q31-Q28</f>
        <v>120430.04760000002</v>
      </c>
    </row>
    <row r="33" spans="1:17">
      <c r="A33" s="196" t="s">
        <v>99</v>
      </c>
      <c r="B33" s="197">
        <f>IRR(B29:G29)</f>
        <v>0.57667358295283733</v>
      </c>
      <c r="C33" s="17"/>
      <c r="J33" s="22">
        <v>4</v>
      </c>
      <c r="K33" s="19">
        <f>F27</f>
        <v>141640.39920000001</v>
      </c>
      <c r="L33" s="19">
        <f>F30</f>
        <v>307952.36280000006</v>
      </c>
      <c r="M33" s="23">
        <f t="shared" si="12"/>
        <v>481952.3628</v>
      </c>
      <c r="N33" s="4">
        <f>N32+L33</f>
        <v>648264.32640000014</v>
      </c>
      <c r="O33" s="3"/>
    </row>
    <row r="34" spans="1:17" ht="15.75">
      <c r="A34" s="8" t="s">
        <v>100</v>
      </c>
      <c r="B34" s="13">
        <f>IF(OR($K$26&gt;$M$34,$K$26=0),"",$P$29)</f>
        <v>1</v>
      </c>
      <c r="C34" s="14">
        <f>IF(OR($K$26&gt;=$M$34,$K$26=0),"",(($K$26-$P$28)/$P$32)*12)</f>
        <v>8.9878730895727035</v>
      </c>
      <c r="J34" s="22">
        <v>5</v>
      </c>
      <c r="K34" s="19">
        <f>G27</f>
        <v>143863.45968000003</v>
      </c>
      <c r="L34" s="19">
        <f>G29</f>
        <v>143863.45968000003</v>
      </c>
      <c r="M34" s="23">
        <f>M33+K34</f>
        <v>625815.82248000009</v>
      </c>
      <c r="N34" s="4">
        <f>N33+L34</f>
        <v>792127.78608000022</v>
      </c>
      <c r="O34" s="3"/>
      <c r="P34" s="1"/>
      <c r="Q34" s="1"/>
    </row>
    <row r="35" spans="1:17" ht="15.75">
      <c r="A35" s="9" t="s">
        <v>101</v>
      </c>
      <c r="B35" s="13">
        <f>IF(OR($L$26&gt;$N$34,$L$26=0),"",$Q$29)</f>
        <v>1</v>
      </c>
      <c r="C35" s="14">
        <f>IF(OR($L$26&gt;=$N$34,$L$26=0),"",(($L$26-$Q$28)/$Q$32)*12)</f>
        <v>8.9878730895727035</v>
      </c>
    </row>
    <row r="37" spans="1:17" ht="19.5" customHeight="1"/>
    <row r="39" spans="1:17">
      <c r="A39" s="80" t="s">
        <v>102</v>
      </c>
      <c r="B39" s="81">
        <v>289461</v>
      </c>
    </row>
    <row r="40" spans="1:17">
      <c r="A40" s="85" t="s">
        <v>103</v>
      </c>
      <c r="B40" s="95"/>
    </row>
    <row r="42" spans="1:17">
      <c r="A42" s="90" t="s">
        <v>57</v>
      </c>
      <c r="B42" s="87"/>
    </row>
    <row r="43" spans="1:17">
      <c r="A43" s="86" t="s">
        <v>58</v>
      </c>
      <c r="B43" s="87"/>
    </row>
    <row r="44" spans="1:17">
      <c r="A44" s="88" t="s">
        <v>59</v>
      </c>
      <c r="B44" s="60"/>
    </row>
    <row r="45" spans="1:17">
      <c r="A45" s="88" t="s">
        <v>60</v>
      </c>
      <c r="B45" s="60"/>
    </row>
    <row r="46" spans="1:17">
      <c r="A46" s="89" t="s">
        <v>61</v>
      </c>
      <c r="B46" s="61"/>
    </row>
  </sheetData>
  <mergeCells count="6">
    <mergeCell ref="N27:N28"/>
    <mergeCell ref="A1:G1"/>
    <mergeCell ref="A9:G9"/>
    <mergeCell ref="K27:K28"/>
    <mergeCell ref="L27:L28"/>
    <mergeCell ref="M27:M28"/>
  </mergeCells>
  <hyperlinks>
    <hyperlink ref="A43" r:id="rId1" location=":~:text=Les%20utilisateurs%20de%20CRM%20connaissent%20une%20augmentation%20du,impulsifs%20apr%C3%A8s%20avoir%20re%C3%A7u%20une%20exp%C3%A9rience%20plus%20personnalis%C3%A9e." xr:uid="{13D7F76C-868C-4D38-BB96-B169BAC29774}"/>
    <hyperlink ref="A44" r:id="rId2" location="am%C3%A9lioration-des-ventes" display="➤ CRM : Statistiques et Chiffres Clés (2023) (sales-hacking.com) " xr:uid="{F440BD6B-176A-42F7-A791-DD5AA8BEC0C3}"/>
    <hyperlink ref="A45" r:id="rId3" xr:uid="{38D17809-5D2D-4B78-B42D-D4EF7CD65AB3}"/>
    <hyperlink ref="A46" r:id="rId4" xr:uid="{80BCA82E-F82F-48FE-AF86-DE837E10AC75}"/>
    <hyperlink ref="A40" r:id="rId5" xr:uid="{BDE47E09-E6F4-4D55-A244-ABA854E633D5}"/>
  </hyperlinks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C19B4-288A-4AB2-9E0C-09F7A3EAD8F3}">
  <dimension ref="A1:Q46"/>
  <sheetViews>
    <sheetView topLeftCell="A7" workbookViewId="0">
      <selection activeCell="C11" sqref="C11"/>
    </sheetView>
  </sheetViews>
  <sheetFormatPr defaultRowHeight="15"/>
  <cols>
    <col min="1" max="1" width="46.5703125" customWidth="1"/>
    <col min="2" max="2" width="14.42578125" bestFit="1" customWidth="1"/>
    <col min="3" max="3" width="15.7109375" customWidth="1"/>
    <col min="4" max="5" width="13.5703125" bestFit="1" customWidth="1"/>
    <col min="6" max="7" width="15.140625" bestFit="1" customWidth="1"/>
    <col min="10" max="10" width="15.85546875" customWidth="1"/>
    <col min="11" max="12" width="14.85546875" customWidth="1"/>
    <col min="13" max="13" width="17.140625" customWidth="1"/>
    <col min="14" max="14" width="23.28515625" customWidth="1"/>
    <col min="15" max="15" width="17.140625" customWidth="1"/>
  </cols>
  <sheetData>
    <row r="1" spans="1:8" ht="34.5" customHeight="1">
      <c r="A1" s="219" t="s">
        <v>104</v>
      </c>
      <c r="B1" s="220"/>
      <c r="C1" s="220"/>
      <c r="D1" s="220"/>
      <c r="E1" s="220"/>
      <c r="F1" s="220"/>
      <c r="G1" s="221"/>
    </row>
    <row r="2" spans="1:8">
      <c r="A2" s="15" t="s">
        <v>69</v>
      </c>
      <c r="B2" s="10">
        <v>2023</v>
      </c>
      <c r="C2" s="10">
        <f>B2+1</f>
        <v>2024</v>
      </c>
      <c r="D2" s="10">
        <f t="shared" ref="D2:G2" si="0">C2+1</f>
        <v>2025</v>
      </c>
      <c r="E2" s="10">
        <f t="shared" si="0"/>
        <v>2026</v>
      </c>
      <c r="F2" s="10">
        <f t="shared" si="0"/>
        <v>2027</v>
      </c>
      <c r="G2" s="11">
        <f t="shared" si="0"/>
        <v>2028</v>
      </c>
      <c r="H2" s="79"/>
    </row>
    <row r="3" spans="1:8">
      <c r="A3" s="29" t="s">
        <v>13</v>
      </c>
      <c r="B3" s="30">
        <f>SUM(B4:B7)</f>
        <v>171300</v>
      </c>
      <c r="C3" s="30"/>
      <c r="D3" s="30"/>
      <c r="E3" s="30"/>
      <c r="F3" s="30"/>
      <c r="G3" s="82"/>
    </row>
    <row r="4" spans="1:8">
      <c r="A4" s="31" t="s">
        <v>19</v>
      </c>
      <c r="B4" s="32">
        <v>25176</v>
      </c>
      <c r="C4" s="32"/>
      <c r="D4" s="32"/>
      <c r="E4" s="32"/>
      <c r="F4" s="32"/>
      <c r="G4" s="33"/>
    </row>
    <row r="5" spans="1:8">
      <c r="A5" s="31" t="s">
        <v>27</v>
      </c>
      <c r="B5" s="32">
        <f>B7/2</f>
        <v>7180</v>
      </c>
      <c r="C5" s="32"/>
      <c r="D5" s="32"/>
      <c r="E5" s="32"/>
      <c r="F5" s="32"/>
      <c r="G5" s="33"/>
    </row>
    <row r="6" spans="1:8">
      <c r="A6" s="31" t="s">
        <v>35</v>
      </c>
      <c r="B6" s="32">
        <v>124584</v>
      </c>
      <c r="C6" s="32"/>
      <c r="D6" s="32"/>
      <c r="E6" s="32"/>
      <c r="F6" s="32"/>
      <c r="G6" s="33"/>
    </row>
    <row r="7" spans="1:8">
      <c r="A7" s="34" t="s">
        <v>36</v>
      </c>
      <c r="B7" s="35">
        <v>14360</v>
      </c>
      <c r="C7" s="35"/>
      <c r="D7" s="35"/>
      <c r="E7" s="35"/>
      <c r="F7" s="35"/>
      <c r="G7" s="36"/>
    </row>
    <row r="8" spans="1:8">
      <c r="A8" s="37"/>
      <c r="B8" s="37"/>
      <c r="C8" s="38"/>
      <c r="D8" s="38"/>
      <c r="E8" s="38"/>
      <c r="F8" s="38"/>
      <c r="G8" s="39"/>
    </row>
    <row r="9" spans="1:8">
      <c r="A9" s="222" t="s">
        <v>70</v>
      </c>
      <c r="B9" s="223"/>
      <c r="C9" s="223"/>
      <c r="D9" s="223"/>
      <c r="E9" s="223"/>
      <c r="F9" s="223"/>
      <c r="G9" s="224"/>
    </row>
    <row r="10" spans="1:8">
      <c r="A10" s="40" t="s">
        <v>71</v>
      </c>
      <c r="B10" s="41"/>
      <c r="C10" s="41">
        <f>SUM(C11)</f>
        <v>72365.25</v>
      </c>
      <c r="D10" s="41">
        <f t="shared" ref="D10:G10" si="1">SUM(D11)</f>
        <v>90456.5625</v>
      </c>
      <c r="E10" s="41">
        <f t="shared" si="1"/>
        <v>94979.390625</v>
      </c>
      <c r="F10" s="41">
        <f t="shared" si="1"/>
        <v>96110.09765625</v>
      </c>
      <c r="G10" s="73">
        <f t="shared" si="1"/>
        <v>96392.7744140625</v>
      </c>
    </row>
    <row r="11" spans="1:8">
      <c r="A11" s="31" t="s">
        <v>72</v>
      </c>
      <c r="C11" s="32">
        <f>B39*0.25</f>
        <v>72365.25</v>
      </c>
      <c r="D11" s="32">
        <f>($B$39+C11)*0.25</f>
        <v>90456.5625</v>
      </c>
      <c r="E11" s="32">
        <f>($B$39+D11)*0.25</f>
        <v>94979.390625</v>
      </c>
      <c r="F11" s="32">
        <f>($B$39+E11)*0.25</f>
        <v>96110.09765625</v>
      </c>
      <c r="G11" s="32">
        <f>($B$39+F11)*0.25</f>
        <v>96392.7744140625</v>
      </c>
    </row>
    <row r="12" spans="1:8">
      <c r="A12" s="31" t="s">
        <v>73</v>
      </c>
      <c r="B12" s="32" t="s">
        <v>65</v>
      </c>
      <c r="C12" s="37"/>
      <c r="D12" s="32"/>
      <c r="E12" s="32"/>
      <c r="F12" s="32"/>
      <c r="G12" s="33"/>
    </row>
    <row r="13" spans="1:8">
      <c r="A13" s="31" t="s">
        <v>74</v>
      </c>
      <c r="B13" s="32" t="s">
        <v>65</v>
      </c>
      <c r="D13" s="32"/>
      <c r="E13" s="32"/>
      <c r="F13" s="32"/>
      <c r="G13" s="33"/>
    </row>
    <row r="14" spans="1:8">
      <c r="A14" s="31" t="s">
        <v>75</v>
      </c>
      <c r="B14" s="32" t="s">
        <v>65</v>
      </c>
      <c r="D14" s="32"/>
      <c r="E14" s="32"/>
      <c r="F14" s="32"/>
      <c r="G14" s="33"/>
    </row>
    <row r="15" spans="1:8">
      <c r="A15" s="31"/>
      <c r="B15" s="43"/>
      <c r="C15" s="43"/>
      <c r="D15" s="43"/>
      <c r="E15" s="43"/>
      <c r="F15" s="43"/>
      <c r="G15" s="44"/>
    </row>
    <row r="16" spans="1:8">
      <c r="A16" s="40" t="s">
        <v>76</v>
      </c>
      <c r="B16" s="41">
        <f>SUM(B17:B21)</f>
        <v>3600</v>
      </c>
      <c r="C16" s="41">
        <f t="shared" ref="C16:G16" si="2">SUM(C17:C21)</f>
        <v>46980</v>
      </c>
      <c r="D16" s="41">
        <f t="shared" si="2"/>
        <v>44860</v>
      </c>
      <c r="E16" s="41">
        <f t="shared" si="2"/>
        <v>44860</v>
      </c>
      <c r="F16" s="41">
        <f t="shared" si="2"/>
        <v>44860</v>
      </c>
      <c r="G16" s="42">
        <f t="shared" si="2"/>
        <v>44860</v>
      </c>
    </row>
    <row r="17" spans="1:17">
      <c r="A17" s="31" t="s">
        <v>54</v>
      </c>
      <c r="B17" s="32"/>
      <c r="C17" s="137">
        <f>E17*1.2</f>
        <v>2400</v>
      </c>
      <c r="D17" s="32">
        <v>2000</v>
      </c>
      <c r="E17" s="32">
        <v>2000</v>
      </c>
      <c r="F17" s="32">
        <v>2000</v>
      </c>
      <c r="G17" s="32">
        <v>2000</v>
      </c>
    </row>
    <row r="18" spans="1:17">
      <c r="A18" s="31" t="s">
        <v>51</v>
      </c>
      <c r="B18" s="32"/>
      <c r="C18" s="32">
        <f t="shared" ref="C18:G18" si="3">$B$3*20%</f>
        <v>34260</v>
      </c>
      <c r="D18" s="32">
        <f t="shared" si="3"/>
        <v>34260</v>
      </c>
      <c r="E18" s="32">
        <f t="shared" si="3"/>
        <v>34260</v>
      </c>
      <c r="F18" s="32">
        <f t="shared" si="3"/>
        <v>34260</v>
      </c>
      <c r="G18" s="32">
        <f t="shared" si="3"/>
        <v>34260</v>
      </c>
    </row>
    <row r="19" spans="1:17">
      <c r="A19" s="31" t="s">
        <v>49</v>
      </c>
      <c r="B19" s="43">
        <f>75*4*12</f>
        <v>3600</v>
      </c>
      <c r="C19" s="137">
        <f t="shared" ref="C18:C20" si="4">E19*1.2</f>
        <v>4320</v>
      </c>
      <c r="D19" s="43">
        <f t="shared" ref="C19:G19" si="5">75*4*12</f>
        <v>3600</v>
      </c>
      <c r="E19" s="43">
        <f t="shared" si="5"/>
        <v>3600</v>
      </c>
      <c r="F19" s="43">
        <f t="shared" si="5"/>
        <v>3600</v>
      </c>
      <c r="G19" s="43">
        <f t="shared" si="5"/>
        <v>3600</v>
      </c>
    </row>
    <row r="20" spans="1:17">
      <c r="A20" s="31" t="s">
        <v>47</v>
      </c>
      <c r="B20" s="43"/>
      <c r="C20" s="137">
        <f t="shared" si="4"/>
        <v>6000</v>
      </c>
      <c r="D20" s="43">
        <v>5000</v>
      </c>
      <c r="E20" s="43">
        <v>5000</v>
      </c>
      <c r="F20" s="43">
        <v>5000</v>
      </c>
      <c r="G20" s="43">
        <v>5000</v>
      </c>
    </row>
    <row r="21" spans="1:17">
      <c r="A21" s="31"/>
      <c r="B21" s="43"/>
      <c r="C21" s="43"/>
      <c r="D21" s="43"/>
      <c r="E21" s="43"/>
      <c r="F21" s="43"/>
      <c r="G21" s="44"/>
    </row>
    <row r="22" spans="1:17">
      <c r="A22" s="40" t="s">
        <v>77</v>
      </c>
      <c r="B22" s="74">
        <f>B10-B16</f>
        <v>-3600</v>
      </c>
      <c r="C22" s="41">
        <f>C10-C16</f>
        <v>25385.25</v>
      </c>
      <c r="D22" s="41">
        <f>D10-D16</f>
        <v>45596.5625</v>
      </c>
      <c r="E22" s="41">
        <f>E10-E16</f>
        <v>50119.390625</v>
      </c>
      <c r="F22" s="41">
        <f>F10-F16</f>
        <v>51250.09765625</v>
      </c>
      <c r="G22" s="42">
        <f>G10-G16</f>
        <v>51532.7744140625</v>
      </c>
    </row>
    <row r="23" spans="1:17">
      <c r="A23" s="45" t="s">
        <v>78</v>
      </c>
      <c r="B23" s="75"/>
      <c r="C23" s="46"/>
      <c r="D23" s="46"/>
      <c r="E23" s="46"/>
      <c r="F23" s="46"/>
      <c r="G23" s="47"/>
    </row>
    <row r="24" spans="1:17">
      <c r="A24" s="31" t="s">
        <v>79</v>
      </c>
      <c r="B24" s="76">
        <f>B22*25%</f>
        <v>-900</v>
      </c>
      <c r="C24" s="32">
        <f>C22*28%</f>
        <v>7107.8700000000008</v>
      </c>
      <c r="D24" s="32">
        <f>D22*26.5%</f>
        <v>12083.089062500001</v>
      </c>
      <c r="E24" s="32">
        <f>E22*25%</f>
        <v>12529.84765625</v>
      </c>
      <c r="F24" s="32">
        <f t="shared" ref="F24:G24" si="6">F22*25%</f>
        <v>12812.5244140625</v>
      </c>
      <c r="G24" s="33">
        <f t="shared" si="6"/>
        <v>12883.193603515625</v>
      </c>
    </row>
    <row r="25" spans="1:17">
      <c r="A25" s="31" t="s">
        <v>80</v>
      </c>
      <c r="B25" s="77">
        <f>B22-B24</f>
        <v>-2700</v>
      </c>
      <c r="C25" s="48">
        <f t="shared" ref="C25:G25" si="7">C22-C24</f>
        <v>18277.379999999997</v>
      </c>
      <c r="D25" s="48">
        <f t="shared" si="7"/>
        <v>33513.473437499997</v>
      </c>
      <c r="E25" s="48">
        <f t="shared" si="7"/>
        <v>37589.54296875</v>
      </c>
      <c r="F25" s="48">
        <f t="shared" si="7"/>
        <v>38437.5732421875</v>
      </c>
      <c r="G25" s="48">
        <f t="shared" si="7"/>
        <v>38649.580810546875</v>
      </c>
    </row>
    <row r="26" spans="1:17" ht="20.25" customHeight="1">
      <c r="A26" s="49" t="s">
        <v>81</v>
      </c>
      <c r="B26" s="93">
        <v>0</v>
      </c>
      <c r="C26" s="50">
        <v>1</v>
      </c>
      <c r="D26" s="50">
        <v>2</v>
      </c>
      <c r="E26" s="50">
        <v>3</v>
      </c>
      <c r="F26" s="50">
        <v>4</v>
      </c>
      <c r="G26" s="51">
        <v>5</v>
      </c>
      <c r="J26" s="18" t="s">
        <v>82</v>
      </c>
      <c r="K26" s="19">
        <f>-B29</f>
        <v>174000</v>
      </c>
      <c r="L26" s="24">
        <f>-B31</f>
        <v>174000</v>
      </c>
      <c r="M26" s="1"/>
      <c r="N26" s="1"/>
      <c r="O26" s="1"/>
    </row>
    <row r="27" spans="1:17" ht="15.75" customHeight="1">
      <c r="A27" s="31" t="s">
        <v>83</v>
      </c>
      <c r="B27" s="77">
        <f>B25+B18-B3</f>
        <v>-174000</v>
      </c>
      <c r="C27" s="48">
        <f>C25+C18-C3</f>
        <v>52537.38</v>
      </c>
      <c r="D27" s="48">
        <f>D25+D18-D3</f>
        <v>67773.473437499997</v>
      </c>
      <c r="E27" s="48">
        <f>E25+E18-E3</f>
        <v>71849.54296875</v>
      </c>
      <c r="F27" s="48">
        <f>F25+F18-F3</f>
        <v>72697.5732421875</v>
      </c>
      <c r="G27" s="52">
        <f>G25+G18-G3</f>
        <v>72909.580810546875</v>
      </c>
      <c r="J27" s="20" t="str">
        <f>IF(K26&gt;M34,"Attention !!! Projet non rentable","")</f>
        <v/>
      </c>
      <c r="K27" s="225" t="s">
        <v>84</v>
      </c>
      <c r="L27" s="218" t="s">
        <v>85</v>
      </c>
      <c r="M27" s="218" t="s">
        <v>86</v>
      </c>
      <c r="N27" s="218" t="s">
        <v>87</v>
      </c>
    </row>
    <row r="28" spans="1:17">
      <c r="A28" s="31" t="s">
        <v>88</v>
      </c>
      <c r="B28" s="75"/>
      <c r="C28" s="43"/>
      <c r="D28" s="43"/>
      <c r="E28" s="43"/>
      <c r="F28" s="43"/>
      <c r="G28" s="44"/>
      <c r="J28" s="21" t="s">
        <v>89</v>
      </c>
      <c r="K28" s="225"/>
      <c r="L28" s="218"/>
      <c r="M28" s="218"/>
      <c r="N28" s="218"/>
      <c r="O28" s="5" t="s">
        <v>90</v>
      </c>
      <c r="P28" s="6">
        <f>LOOKUP(K26,M29:M34)</f>
        <v>120310.85343749999</v>
      </c>
      <c r="Q28" s="6">
        <f>LOOKUP(L26,N29:N34)</f>
        <v>120310.85343749999</v>
      </c>
    </row>
    <row r="29" spans="1:17">
      <c r="A29" s="31" t="s">
        <v>91</v>
      </c>
      <c r="B29" s="78">
        <f>B27/POWER(1+$B$28,B26)</f>
        <v>-174000</v>
      </c>
      <c r="C29" s="43">
        <f t="shared" ref="C29:G29" si="8">C27/POWER(1+$B$28,C26)</f>
        <v>52537.38</v>
      </c>
      <c r="D29" s="43">
        <f t="shared" si="8"/>
        <v>67773.473437499997</v>
      </c>
      <c r="E29" s="43">
        <f t="shared" si="8"/>
        <v>71849.54296875</v>
      </c>
      <c r="F29" s="43">
        <f t="shared" si="8"/>
        <v>72697.5732421875</v>
      </c>
      <c r="G29" s="43">
        <f t="shared" si="8"/>
        <v>72909.580810546875</v>
      </c>
      <c r="J29" s="22">
        <f>B28</f>
        <v>0</v>
      </c>
      <c r="K29" s="25">
        <v>0</v>
      </c>
      <c r="L29" s="26"/>
      <c r="M29" s="27">
        <v>0</v>
      </c>
      <c r="N29" s="28">
        <v>0</v>
      </c>
      <c r="O29" s="1" t="s">
        <v>92</v>
      </c>
      <c r="P29" s="7">
        <f>LOOKUP(K26,M29:M34,J29:J34)</f>
        <v>2</v>
      </c>
      <c r="Q29" s="7">
        <f>LOOKUP(L26,N29:N34,J29:J34)</f>
        <v>2</v>
      </c>
    </row>
    <row r="30" spans="1:17" ht="15.75" customHeight="1">
      <c r="A30" s="31" t="s">
        <v>93</v>
      </c>
      <c r="B30" s="78">
        <f>B27</f>
        <v>-174000</v>
      </c>
      <c r="C30" s="83">
        <f>B30+C27</f>
        <v>-121462.62</v>
      </c>
      <c r="D30" s="83">
        <f t="shared" ref="D30:G30" si="9">C30+D27</f>
        <v>-53689.146562499998</v>
      </c>
      <c r="E30" s="43">
        <f t="shared" si="9"/>
        <v>18160.396406250002</v>
      </c>
      <c r="F30" s="43">
        <f t="shared" si="9"/>
        <v>90857.969648437502</v>
      </c>
      <c r="G30" s="44">
        <f t="shared" si="9"/>
        <v>163767.55045898439</v>
      </c>
      <c r="J30" s="22">
        <v>1</v>
      </c>
      <c r="K30" s="19">
        <f>C27</f>
        <v>52537.38</v>
      </c>
      <c r="L30" s="19">
        <f>C29</f>
        <v>52537.38</v>
      </c>
      <c r="M30" s="23">
        <f>K30</f>
        <v>52537.38</v>
      </c>
      <c r="N30" s="4">
        <f>L30</f>
        <v>52537.38</v>
      </c>
      <c r="O30" s="1" t="s">
        <v>94</v>
      </c>
      <c r="P30" s="7">
        <f>P29+1</f>
        <v>3</v>
      </c>
      <c r="Q30" s="7">
        <f>Q29+1</f>
        <v>3</v>
      </c>
    </row>
    <row r="31" spans="1:17" ht="15" customHeight="1">
      <c r="A31" s="53" t="s">
        <v>95</v>
      </c>
      <c r="B31" s="78">
        <f>B30</f>
        <v>-174000</v>
      </c>
      <c r="C31" s="83">
        <f>B31+C29</f>
        <v>-121462.62</v>
      </c>
      <c r="D31" s="84">
        <f t="shared" ref="D31:G31" si="10">C31+D29</f>
        <v>-53689.146562499998</v>
      </c>
      <c r="E31" s="38">
        <f t="shared" si="10"/>
        <v>18160.396406250002</v>
      </c>
      <c r="F31" s="38">
        <f t="shared" si="10"/>
        <v>90857.969648437502</v>
      </c>
      <c r="G31" s="39">
        <f t="shared" si="10"/>
        <v>163767.55045898439</v>
      </c>
      <c r="J31" s="22">
        <v>2</v>
      </c>
      <c r="K31" s="19">
        <f>D27</f>
        <v>67773.473437499997</v>
      </c>
      <c r="L31" s="19">
        <f>D29</f>
        <v>67773.473437499997</v>
      </c>
      <c r="M31" s="23">
        <f>M30+K31</f>
        <v>120310.85343749999</v>
      </c>
      <c r="N31" s="4">
        <f>N30+L31</f>
        <v>120310.85343749999</v>
      </c>
      <c r="O31" s="2" t="s">
        <v>96</v>
      </c>
      <c r="P31" s="7">
        <f>LOOKUP(P30,J29:J34,M29:M34)</f>
        <v>192160.39640624999</v>
      </c>
      <c r="Q31" s="7">
        <f>LOOKUP(Q30,J29:J34,N29:N34)</f>
        <v>192160.39640624999</v>
      </c>
    </row>
    <row r="32" spans="1:17">
      <c r="A32" s="12" t="s">
        <v>97</v>
      </c>
      <c r="B32" s="16">
        <f>IRR(B27:G27)</f>
        <v>0.25490860175276353</v>
      </c>
      <c r="C32" s="17"/>
      <c r="J32" s="22">
        <v>3</v>
      </c>
      <c r="K32" s="19">
        <f>E27</f>
        <v>71849.54296875</v>
      </c>
      <c r="L32" s="19">
        <f>E29</f>
        <v>71849.54296875</v>
      </c>
      <c r="M32" s="23">
        <f t="shared" ref="M31:N34" si="11">M31+K32</f>
        <v>192160.39640624999</v>
      </c>
      <c r="N32" s="4">
        <f>N31+L32</f>
        <v>192160.39640624999</v>
      </c>
      <c r="O32" s="1" t="s">
        <v>98</v>
      </c>
      <c r="P32" s="7">
        <f>P31-P28</f>
        <v>71849.54296875</v>
      </c>
      <c r="Q32" s="7">
        <f>Q31-Q28</f>
        <v>71849.54296875</v>
      </c>
    </row>
    <row r="33" spans="1:17">
      <c r="A33" s="196" t="s">
        <v>99</v>
      </c>
      <c r="B33" s="197">
        <f>IRR(B29:G29)</f>
        <v>0.25490860175276353</v>
      </c>
      <c r="C33" s="17"/>
      <c r="J33" s="22">
        <v>4</v>
      </c>
      <c r="K33" s="19">
        <f>F27</f>
        <v>72697.5732421875</v>
      </c>
      <c r="L33" s="19">
        <f>F30</f>
        <v>90857.969648437502</v>
      </c>
      <c r="M33" s="23">
        <f t="shared" si="11"/>
        <v>264857.96964843746</v>
      </c>
      <c r="N33" s="4">
        <f>N32+L33</f>
        <v>283018.36605468747</v>
      </c>
      <c r="O33" s="3"/>
    </row>
    <row r="34" spans="1:17" ht="15.75">
      <c r="A34" s="8" t="s">
        <v>100</v>
      </c>
      <c r="B34" s="13">
        <f>IF(OR($K$26&gt;$M$34,$K$26=0),"",$P$29)</f>
        <v>2</v>
      </c>
      <c r="C34" s="14">
        <f>IF(OR($K$26&gt;=$M$34,$K$26=0),"",(($K$26-$P$28)/$P$32)*12)</f>
        <v>8.9669291150566774</v>
      </c>
      <c r="J34" s="22">
        <v>5</v>
      </c>
      <c r="K34" s="19">
        <f>G27</f>
        <v>72909.580810546875</v>
      </c>
      <c r="L34" s="19">
        <f>G29</f>
        <v>72909.580810546875</v>
      </c>
      <c r="M34" s="23">
        <f>M33+K34</f>
        <v>337767.55045898433</v>
      </c>
      <c r="N34" s="4">
        <f>N33+L34</f>
        <v>355927.94686523435</v>
      </c>
      <c r="O34" s="3"/>
      <c r="P34" s="1"/>
      <c r="Q34" s="1"/>
    </row>
    <row r="35" spans="1:17" ht="15.75">
      <c r="A35" s="9" t="s">
        <v>101</v>
      </c>
      <c r="B35" s="13">
        <f>IF(OR($L$26&gt;$N$34,$L$26=0),"",$Q$29)</f>
        <v>2</v>
      </c>
      <c r="C35" s="14">
        <f>IF(OR($L$26&gt;=$N$34,$L$26=0),"",(($L$26-$Q$28)/$Q$32)*12)</f>
        <v>8.9669291150566774</v>
      </c>
    </row>
    <row r="37" spans="1:17" ht="19.5" customHeight="1"/>
    <row r="39" spans="1:17">
      <c r="A39" s="80" t="s">
        <v>102</v>
      </c>
      <c r="B39" s="81">
        <v>289461</v>
      </c>
    </row>
    <row r="40" spans="1:17">
      <c r="A40" s="85" t="s">
        <v>103</v>
      </c>
    </row>
    <row r="42" spans="1:17">
      <c r="A42" s="90" t="s">
        <v>57</v>
      </c>
      <c r="B42" s="87"/>
    </row>
    <row r="43" spans="1:17">
      <c r="A43" s="86" t="s">
        <v>58</v>
      </c>
      <c r="B43" s="87"/>
    </row>
    <row r="44" spans="1:17">
      <c r="A44" s="88" t="s">
        <v>105</v>
      </c>
      <c r="B44" s="60"/>
    </row>
    <row r="45" spans="1:17">
      <c r="A45" s="88" t="s">
        <v>60</v>
      </c>
      <c r="B45" s="60"/>
    </row>
    <row r="46" spans="1:17">
      <c r="A46" s="89" t="s">
        <v>61</v>
      </c>
      <c r="B46" s="61"/>
    </row>
  </sheetData>
  <mergeCells count="6">
    <mergeCell ref="N27:N28"/>
    <mergeCell ref="A1:G1"/>
    <mergeCell ref="A9:G9"/>
    <mergeCell ref="K27:K28"/>
    <mergeCell ref="L27:L28"/>
    <mergeCell ref="M27:M28"/>
  </mergeCells>
  <hyperlinks>
    <hyperlink ref="A43" r:id="rId1" location=":~:text=Les%20utilisateurs%20de%20CRM%20connaissent%20une%20augmentation%20du,impulsifs%20apr%C3%A8s%20avoir%20re%C3%A7u%20une%20exp%C3%A9rience%20plus%20personnalis%C3%A9e." xr:uid="{69F3D57C-B5B5-4AE4-AD24-60D6C633D16C}"/>
    <hyperlink ref="A44" r:id="rId2" location="am%C3%A9lioration-des-ventes" xr:uid="{5208CB3B-A758-42D3-8548-0D85018BA2C0}"/>
    <hyperlink ref="A45" r:id="rId3" xr:uid="{440E2277-0468-4527-9735-6F0286AB067C}"/>
    <hyperlink ref="A46" r:id="rId4" xr:uid="{2AD4B3A5-112C-41EC-9260-7CA895669CEA}"/>
    <hyperlink ref="A40" r:id="rId5" xr:uid="{D1C8355C-0A40-43B0-8C41-0217B71E4CCD}"/>
  </hyperlinks>
  <pageMargins left="0.7" right="0.7" top="0.75" bottom="0.75" header="0.3" footer="0.3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ECEEA-0B34-41F8-800C-7CDEE36056A8}">
  <dimension ref="A1:Q46"/>
  <sheetViews>
    <sheetView workbookViewId="0">
      <selection activeCell="C11" sqref="C11"/>
    </sheetView>
  </sheetViews>
  <sheetFormatPr defaultRowHeight="15"/>
  <cols>
    <col min="1" max="1" width="46.5703125" customWidth="1"/>
    <col min="2" max="2" width="14.42578125" bestFit="1" customWidth="1"/>
    <col min="3" max="3" width="15.7109375" customWidth="1"/>
    <col min="4" max="5" width="13.5703125" bestFit="1" customWidth="1"/>
    <col min="6" max="7" width="15.140625" bestFit="1" customWidth="1"/>
    <col min="8" max="8" width="4.7109375" customWidth="1"/>
    <col min="9" max="9" width="4.42578125" customWidth="1"/>
    <col min="10" max="10" width="22.5703125" customWidth="1"/>
    <col min="11" max="12" width="14.85546875" customWidth="1"/>
    <col min="13" max="13" width="17.140625" customWidth="1"/>
    <col min="14" max="14" width="23.28515625" customWidth="1"/>
    <col min="15" max="15" width="17.140625" customWidth="1"/>
  </cols>
  <sheetData>
    <row r="1" spans="1:8" ht="34.5" customHeight="1">
      <c r="A1" s="219" t="s">
        <v>106</v>
      </c>
      <c r="B1" s="220"/>
      <c r="C1" s="220"/>
      <c r="D1" s="220"/>
      <c r="E1" s="220"/>
      <c r="F1" s="220"/>
      <c r="G1" s="221"/>
    </row>
    <row r="2" spans="1:8">
      <c r="A2" s="15" t="s">
        <v>69</v>
      </c>
      <c r="B2" s="10">
        <v>2023</v>
      </c>
      <c r="C2" s="10">
        <f>B2+1</f>
        <v>2024</v>
      </c>
      <c r="D2" s="10">
        <f t="shared" ref="D2:H2" si="0">C2+1</f>
        <v>2025</v>
      </c>
      <c r="E2" s="10">
        <f t="shared" si="0"/>
        <v>2026</v>
      </c>
      <c r="F2" s="10">
        <f t="shared" si="0"/>
        <v>2027</v>
      </c>
      <c r="G2" s="11">
        <f t="shared" si="0"/>
        <v>2028</v>
      </c>
      <c r="H2" s="79"/>
    </row>
    <row r="3" spans="1:8">
      <c r="A3" s="29" t="s">
        <v>13</v>
      </c>
      <c r="B3" s="30">
        <f>SUM(B4:B7)</f>
        <v>171300</v>
      </c>
      <c r="C3" s="30"/>
      <c r="D3" s="30"/>
      <c r="E3" s="30"/>
      <c r="F3" s="30"/>
      <c r="G3" s="82"/>
    </row>
    <row r="4" spans="1:8">
      <c r="A4" s="31" t="s">
        <v>19</v>
      </c>
      <c r="B4" s="32">
        <v>25176</v>
      </c>
      <c r="C4" s="32"/>
      <c r="D4" s="32"/>
      <c r="E4" s="32"/>
      <c r="F4" s="32"/>
      <c r="G4" s="33"/>
    </row>
    <row r="5" spans="1:8">
      <c r="A5" s="31" t="s">
        <v>27</v>
      </c>
      <c r="B5" s="32">
        <f>B7/2</f>
        <v>7180</v>
      </c>
      <c r="C5" s="32"/>
      <c r="D5" s="32"/>
      <c r="E5" s="32"/>
      <c r="F5" s="32"/>
      <c r="G5" s="33"/>
    </row>
    <row r="6" spans="1:8">
      <c r="A6" s="31" t="s">
        <v>35</v>
      </c>
      <c r="B6" s="32">
        <v>124584</v>
      </c>
      <c r="C6" s="32"/>
      <c r="D6" s="32"/>
      <c r="E6" s="32"/>
      <c r="F6" s="32"/>
      <c r="G6" s="33"/>
    </row>
    <row r="7" spans="1:8">
      <c r="A7" s="34" t="s">
        <v>36</v>
      </c>
      <c r="B7" s="35">
        <v>14360</v>
      </c>
      <c r="C7" s="35"/>
      <c r="D7" s="35"/>
      <c r="E7" s="35"/>
      <c r="F7" s="35"/>
      <c r="G7" s="36"/>
    </row>
    <row r="8" spans="1:8">
      <c r="A8" s="37"/>
      <c r="B8" s="37"/>
      <c r="C8" s="38"/>
      <c r="D8" s="38"/>
      <c r="E8" s="38"/>
      <c r="F8" s="38"/>
      <c r="G8" s="39"/>
    </row>
    <row r="9" spans="1:8">
      <c r="A9" s="222" t="s">
        <v>70</v>
      </c>
      <c r="B9" s="223"/>
      <c r="C9" s="223"/>
      <c r="D9" s="223"/>
      <c r="E9" s="223"/>
      <c r="F9" s="223"/>
      <c r="G9" s="224"/>
    </row>
    <row r="10" spans="1:8">
      <c r="A10" s="40" t="s">
        <v>71</v>
      </c>
      <c r="B10" s="41"/>
      <c r="C10" s="41">
        <f>SUM(C11)</f>
        <v>14473.050000000001</v>
      </c>
      <c r="D10" s="41">
        <f t="shared" ref="D10:H10" si="1">SUM(D11)</f>
        <v>15196.702499999999</v>
      </c>
      <c r="E10" s="41">
        <f t="shared" si="1"/>
        <v>15232.885125000001</v>
      </c>
      <c r="F10" s="41">
        <f t="shared" si="1"/>
        <v>15234.694256250003</v>
      </c>
      <c r="G10" s="73">
        <f t="shared" si="1"/>
        <v>15234.784712812499</v>
      </c>
    </row>
    <row r="11" spans="1:8">
      <c r="A11" s="31" t="s">
        <v>72</v>
      </c>
      <c r="C11" s="32">
        <f>B39*0.05</f>
        <v>14473.050000000001</v>
      </c>
      <c r="D11" s="32">
        <f>($B$39+C11)*0.05</f>
        <v>15196.702499999999</v>
      </c>
      <c r="E11" s="32">
        <f>($B$39+D11)*0.05</f>
        <v>15232.885125000001</v>
      </c>
      <c r="F11" s="32">
        <f t="shared" ref="F11:G11" si="2">($B$39+E11)*0.05</f>
        <v>15234.694256250003</v>
      </c>
      <c r="G11" s="32">
        <f t="shared" si="2"/>
        <v>15234.784712812499</v>
      </c>
    </row>
    <row r="12" spans="1:8">
      <c r="A12" s="31" t="s">
        <v>73</v>
      </c>
      <c r="B12" s="32" t="s">
        <v>65</v>
      </c>
      <c r="C12" s="37"/>
      <c r="D12" s="32"/>
      <c r="E12" s="32"/>
      <c r="F12" s="32"/>
      <c r="G12" s="33"/>
    </row>
    <row r="13" spans="1:8">
      <c r="A13" s="31" t="s">
        <v>74</v>
      </c>
      <c r="B13" s="32" t="s">
        <v>65</v>
      </c>
      <c r="D13" s="32"/>
      <c r="E13" s="32"/>
      <c r="F13" s="32"/>
      <c r="G13" s="33"/>
    </row>
    <row r="14" spans="1:8">
      <c r="A14" s="31" t="s">
        <v>75</v>
      </c>
      <c r="B14" s="32" t="s">
        <v>65</v>
      </c>
      <c r="D14" s="32"/>
      <c r="E14" s="32"/>
      <c r="F14" s="32"/>
      <c r="G14" s="33"/>
    </row>
    <row r="15" spans="1:8">
      <c r="A15" s="31"/>
      <c r="B15" s="43"/>
      <c r="C15" s="43"/>
      <c r="D15" s="43"/>
      <c r="E15" s="43"/>
      <c r="F15" s="43"/>
      <c r="G15" s="44"/>
    </row>
    <row r="16" spans="1:8">
      <c r="A16" s="40" t="s">
        <v>76</v>
      </c>
      <c r="B16" s="41">
        <f>SUM(B17:B21)</f>
        <v>3600</v>
      </c>
      <c r="C16" s="41">
        <f t="shared" ref="C16:G16" si="3">SUM(C17:C21)</f>
        <v>44860</v>
      </c>
      <c r="D16" s="41">
        <f t="shared" si="3"/>
        <v>44860</v>
      </c>
      <c r="E16" s="41">
        <f t="shared" si="3"/>
        <v>44860</v>
      </c>
      <c r="F16" s="41">
        <f t="shared" si="3"/>
        <v>44860</v>
      </c>
      <c r="G16" s="42">
        <f t="shared" si="3"/>
        <v>44860</v>
      </c>
    </row>
    <row r="17" spans="1:17">
      <c r="A17" s="31" t="s">
        <v>54</v>
      </c>
      <c r="B17" s="32"/>
      <c r="C17" s="32">
        <v>2000</v>
      </c>
      <c r="D17" s="32">
        <v>2000</v>
      </c>
      <c r="E17" s="32">
        <v>2000</v>
      </c>
      <c r="F17" s="32">
        <v>2000</v>
      </c>
      <c r="G17" s="32">
        <v>2000</v>
      </c>
    </row>
    <row r="18" spans="1:17">
      <c r="A18" s="31" t="s">
        <v>51</v>
      </c>
      <c r="B18" s="32"/>
      <c r="C18" s="32">
        <f>$B$3*20%</f>
        <v>34260</v>
      </c>
      <c r="D18" s="32">
        <f t="shared" ref="D18:H18" si="4">$B$3*20%</f>
        <v>34260</v>
      </c>
      <c r="E18" s="32">
        <f t="shared" si="4"/>
        <v>34260</v>
      </c>
      <c r="F18" s="32">
        <f t="shared" si="4"/>
        <v>34260</v>
      </c>
      <c r="G18" s="32">
        <f t="shared" si="4"/>
        <v>34260</v>
      </c>
    </row>
    <row r="19" spans="1:17">
      <c r="A19" s="31" t="s">
        <v>49</v>
      </c>
      <c r="B19" s="43">
        <f>75*4*12</f>
        <v>3600</v>
      </c>
      <c r="C19" s="43">
        <f t="shared" ref="C19:H19" si="5">75*4*12</f>
        <v>3600</v>
      </c>
      <c r="D19" s="43">
        <f t="shared" si="5"/>
        <v>3600</v>
      </c>
      <c r="E19" s="43">
        <f t="shared" si="5"/>
        <v>3600</v>
      </c>
      <c r="F19" s="43">
        <f t="shared" si="5"/>
        <v>3600</v>
      </c>
      <c r="G19" s="43">
        <f t="shared" si="5"/>
        <v>3600</v>
      </c>
    </row>
    <row r="20" spans="1:17">
      <c r="A20" s="31" t="s">
        <v>47</v>
      </c>
      <c r="B20" s="43"/>
      <c r="C20" s="43">
        <v>5000</v>
      </c>
      <c r="D20" s="43">
        <v>5000</v>
      </c>
      <c r="E20" s="43">
        <v>5000</v>
      </c>
      <c r="F20" s="43">
        <v>5000</v>
      </c>
      <c r="G20" s="43">
        <v>5000</v>
      </c>
    </row>
    <row r="21" spans="1:17">
      <c r="A21" s="31"/>
      <c r="B21" s="43"/>
      <c r="C21" s="43"/>
      <c r="D21" s="43"/>
      <c r="E21" s="43"/>
      <c r="F21" s="43"/>
      <c r="G21" s="44"/>
    </row>
    <row r="22" spans="1:17">
      <c r="A22" s="40" t="s">
        <v>77</v>
      </c>
      <c r="B22" s="74">
        <f>B10-B16</f>
        <v>-3600</v>
      </c>
      <c r="C22" s="41">
        <f>C10-C16</f>
        <v>-30386.949999999997</v>
      </c>
      <c r="D22" s="41">
        <f>D10-D16</f>
        <v>-29663.297500000001</v>
      </c>
      <c r="E22" s="41">
        <f>E10-E16</f>
        <v>-29627.114874999999</v>
      </c>
      <c r="F22" s="41">
        <f>F10-F16</f>
        <v>-29625.305743749996</v>
      </c>
      <c r="G22" s="42">
        <f>G10-G16</f>
        <v>-29625.215287187501</v>
      </c>
    </row>
    <row r="23" spans="1:17">
      <c r="A23" s="45" t="s">
        <v>78</v>
      </c>
      <c r="B23" s="75"/>
      <c r="C23" s="46"/>
      <c r="D23" s="46"/>
      <c r="E23" s="46"/>
      <c r="F23" s="46"/>
      <c r="G23" s="47"/>
    </row>
    <row r="24" spans="1:17">
      <c r="A24" s="31" t="s">
        <v>79</v>
      </c>
      <c r="B24" s="76">
        <f>B22*25%</f>
        <v>-900</v>
      </c>
      <c r="C24" s="32">
        <f>C22*28%</f>
        <v>-8508.3459999999995</v>
      </c>
      <c r="D24" s="32">
        <f>D22*26.5%</f>
        <v>-7860.7738375000008</v>
      </c>
      <c r="E24" s="32">
        <f>E22*25%</f>
        <v>-7406.7787187499998</v>
      </c>
      <c r="F24" s="32">
        <f t="shared" ref="F24:G24" si="6">F22*25%</f>
        <v>-7406.3264359374989</v>
      </c>
      <c r="G24" s="33">
        <f t="shared" si="6"/>
        <v>-7406.3038217968751</v>
      </c>
    </row>
    <row r="25" spans="1:17">
      <c r="A25" s="31" t="s">
        <v>80</v>
      </c>
      <c r="B25" s="77">
        <f>B22-B24</f>
        <v>-2700</v>
      </c>
      <c r="C25" s="48">
        <f t="shared" ref="C25:G25" si="7">C22-C24</f>
        <v>-21878.603999999999</v>
      </c>
      <c r="D25" s="48">
        <f t="shared" si="7"/>
        <v>-21802.5236625</v>
      </c>
      <c r="E25" s="48">
        <f t="shared" si="7"/>
        <v>-22220.336156249999</v>
      </c>
      <c r="F25" s="48">
        <f t="shared" si="7"/>
        <v>-22218.979307812497</v>
      </c>
      <c r="G25" s="48">
        <f t="shared" si="7"/>
        <v>-22218.911465390625</v>
      </c>
    </row>
    <row r="26" spans="1:17" ht="20.25" customHeight="1">
      <c r="A26" s="49" t="s">
        <v>81</v>
      </c>
      <c r="B26" s="93">
        <v>0</v>
      </c>
      <c r="C26" s="50">
        <v>1</v>
      </c>
      <c r="D26" s="50">
        <v>2</v>
      </c>
      <c r="E26" s="50">
        <v>3</v>
      </c>
      <c r="F26" s="50">
        <v>4</v>
      </c>
      <c r="G26" s="51">
        <v>5</v>
      </c>
      <c r="J26" s="18" t="s">
        <v>82</v>
      </c>
      <c r="K26" s="19">
        <f>-B29</f>
        <v>174000</v>
      </c>
      <c r="L26" s="24">
        <f>-B31</f>
        <v>174000</v>
      </c>
      <c r="M26" s="1"/>
      <c r="N26" s="1"/>
      <c r="O26" s="1"/>
    </row>
    <row r="27" spans="1:17" ht="15.75" customHeight="1">
      <c r="A27" s="31" t="s">
        <v>83</v>
      </c>
      <c r="B27" s="77">
        <f>B25+B18-B3</f>
        <v>-174000</v>
      </c>
      <c r="C27" s="48">
        <f>C25+C18-C3</f>
        <v>12381.396000000001</v>
      </c>
      <c r="D27" s="48">
        <f>D25+D18-D3</f>
        <v>12457.4763375</v>
      </c>
      <c r="E27" s="48">
        <f>E25+E18-E3</f>
        <v>12039.663843750001</v>
      </c>
      <c r="F27" s="48">
        <f>F25+F18-F3</f>
        <v>12041.020692187503</v>
      </c>
      <c r="G27" s="52">
        <f>G25+G18-G3</f>
        <v>12041.088534609375</v>
      </c>
      <c r="J27" s="94" t="str">
        <f>IF(K26&gt;M34,"Attention !!! Projet non rentable","")</f>
        <v>Attention !!! Projet non rentable</v>
      </c>
      <c r="K27" s="226" t="s">
        <v>84</v>
      </c>
      <c r="L27" s="226" t="s">
        <v>85</v>
      </c>
      <c r="M27" s="226" t="s">
        <v>86</v>
      </c>
      <c r="N27" s="226" t="s">
        <v>87</v>
      </c>
    </row>
    <row r="28" spans="1:17">
      <c r="A28" s="31" t="s">
        <v>88</v>
      </c>
      <c r="B28" s="75"/>
      <c r="C28" s="43"/>
      <c r="D28" s="43"/>
      <c r="E28" s="43"/>
      <c r="F28" s="43"/>
      <c r="G28" s="44"/>
      <c r="J28" s="21" t="s">
        <v>89</v>
      </c>
      <c r="K28" s="227"/>
      <c r="L28" s="227"/>
      <c r="M28" s="227"/>
      <c r="N28" s="227"/>
      <c r="O28" s="5" t="s">
        <v>90</v>
      </c>
      <c r="P28" s="6">
        <f>LOOKUP(K26,M29:M34)</f>
        <v>60960.645408046883</v>
      </c>
      <c r="Q28" s="6">
        <f>LOOKUP(L26,N29:N34)</f>
        <v>-76160.818410703112</v>
      </c>
    </row>
    <row r="29" spans="1:17">
      <c r="A29" s="31" t="s">
        <v>91</v>
      </c>
      <c r="B29" s="78">
        <f>B27/POWER(1+$B$28,B26)</f>
        <v>-174000</v>
      </c>
      <c r="C29" s="43">
        <f t="shared" ref="C29:G29" si="8">C27/POWER(1+$B$28,C26)</f>
        <v>12381.396000000001</v>
      </c>
      <c r="D29" s="43">
        <f t="shared" si="8"/>
        <v>12457.4763375</v>
      </c>
      <c r="E29" s="43">
        <f t="shared" si="8"/>
        <v>12039.663843750001</v>
      </c>
      <c r="F29" s="43">
        <f t="shared" si="8"/>
        <v>12041.020692187503</v>
      </c>
      <c r="G29" s="43">
        <f t="shared" si="8"/>
        <v>12041.088534609375</v>
      </c>
      <c r="J29" s="22">
        <f>B28</f>
        <v>0</v>
      </c>
      <c r="K29" s="25">
        <v>0</v>
      </c>
      <c r="L29" s="26"/>
      <c r="M29" s="27">
        <v>0</v>
      </c>
      <c r="N29" s="28">
        <v>0</v>
      </c>
      <c r="O29" s="1" t="s">
        <v>92</v>
      </c>
      <c r="P29" s="7">
        <f>LOOKUP(K26,M29:M34,J29:J34)</f>
        <v>5</v>
      </c>
      <c r="Q29" s="7">
        <f>LOOKUP(L26,N29:N34,J29:J34)</f>
        <v>5</v>
      </c>
    </row>
    <row r="30" spans="1:17" ht="15.75" customHeight="1">
      <c r="A30" s="31" t="s">
        <v>93</v>
      </c>
      <c r="B30" s="78">
        <f>B27</f>
        <v>-174000</v>
      </c>
      <c r="C30" s="83">
        <f>B30+C27</f>
        <v>-161618.60399999999</v>
      </c>
      <c r="D30" s="83">
        <f t="shared" ref="D30:G30" si="9">C30+D27</f>
        <v>-149161.12766249999</v>
      </c>
      <c r="E30" s="83">
        <f t="shared" si="9"/>
        <v>-137121.46381874999</v>
      </c>
      <c r="F30" s="83">
        <f t="shared" si="9"/>
        <v>-125080.44312656249</v>
      </c>
      <c r="G30" s="91">
        <f t="shared" si="9"/>
        <v>-113039.35459195312</v>
      </c>
      <c r="J30" s="22">
        <v>1</v>
      </c>
      <c r="K30" s="19">
        <f>C27</f>
        <v>12381.396000000001</v>
      </c>
      <c r="L30" s="19">
        <f>C29</f>
        <v>12381.396000000001</v>
      </c>
      <c r="M30" s="23">
        <f>K30</f>
        <v>12381.396000000001</v>
      </c>
      <c r="N30" s="4">
        <f>L30</f>
        <v>12381.396000000001</v>
      </c>
      <c r="O30" s="1" t="s">
        <v>94</v>
      </c>
      <c r="P30" s="7">
        <f>P29+1</f>
        <v>6</v>
      </c>
      <c r="Q30" s="7">
        <f>Q29+1</f>
        <v>6</v>
      </c>
    </row>
    <row r="31" spans="1:17" ht="15" customHeight="1">
      <c r="A31" s="53" t="s">
        <v>95</v>
      </c>
      <c r="B31" s="78">
        <f>B30</f>
        <v>-174000</v>
      </c>
      <c r="C31" s="83">
        <f>B31+C29</f>
        <v>-161618.60399999999</v>
      </c>
      <c r="D31" s="84">
        <f t="shared" ref="D31:G31" si="10">C31+D29</f>
        <v>-149161.12766249999</v>
      </c>
      <c r="E31" s="84">
        <f t="shared" si="10"/>
        <v>-137121.46381874999</v>
      </c>
      <c r="F31" s="84">
        <f t="shared" si="10"/>
        <v>-125080.44312656249</v>
      </c>
      <c r="G31" s="92">
        <f t="shared" si="10"/>
        <v>-113039.35459195312</v>
      </c>
      <c r="J31" s="22">
        <v>2</v>
      </c>
      <c r="K31" s="19">
        <f>D27</f>
        <v>12457.4763375</v>
      </c>
      <c r="L31" s="19">
        <f>D29</f>
        <v>12457.4763375</v>
      </c>
      <c r="M31" s="23">
        <f>M30+K31</f>
        <v>24838.872337500001</v>
      </c>
      <c r="N31" s="4">
        <f>N30+L31</f>
        <v>24838.872337500001</v>
      </c>
      <c r="O31" s="2" t="s">
        <v>96</v>
      </c>
      <c r="P31" s="7">
        <f>LOOKUP(P30,J29:J34,M29:M34)</f>
        <v>60960.645408046883</v>
      </c>
      <c r="Q31" s="7">
        <f>LOOKUP(Q30,J29:J34,N29:N34)</f>
        <v>-76160.818410703112</v>
      </c>
    </row>
    <row r="32" spans="1:17">
      <c r="A32" s="12" t="s">
        <v>97</v>
      </c>
      <c r="B32" s="16">
        <f>IRR(B27:G27)</f>
        <v>-0.27261568691980198</v>
      </c>
      <c r="C32" s="17"/>
      <c r="J32" s="22">
        <v>3</v>
      </c>
      <c r="K32" s="19">
        <f>E27</f>
        <v>12039.663843750001</v>
      </c>
      <c r="L32" s="19">
        <f>E29</f>
        <v>12039.663843750001</v>
      </c>
      <c r="M32" s="23">
        <f t="shared" ref="M32:M33" si="11">M31+K32</f>
        <v>36878.536181250005</v>
      </c>
      <c r="N32" s="4">
        <f>N31+L32</f>
        <v>36878.536181250005</v>
      </c>
      <c r="O32" s="1" t="s">
        <v>98</v>
      </c>
      <c r="P32" s="7">
        <f>P31-P28</f>
        <v>0</v>
      </c>
      <c r="Q32" s="7">
        <f>Q31-Q28</f>
        <v>0</v>
      </c>
    </row>
    <row r="33" spans="1:17">
      <c r="A33" s="196" t="s">
        <v>99</v>
      </c>
      <c r="B33" s="197">
        <f>IRR(B29:G29)</f>
        <v>-0.27261568691980198</v>
      </c>
      <c r="C33" s="17"/>
      <c r="J33" s="22">
        <v>4</v>
      </c>
      <c r="K33" s="19">
        <f>F27</f>
        <v>12041.020692187503</v>
      </c>
      <c r="L33" s="19">
        <f>F30</f>
        <v>-125080.44312656249</v>
      </c>
      <c r="M33" s="23">
        <f t="shared" si="11"/>
        <v>48919.556873437512</v>
      </c>
      <c r="N33" s="4">
        <f>N32+L33</f>
        <v>-88201.906945312483</v>
      </c>
      <c r="O33" s="3"/>
    </row>
    <row r="34" spans="1:17" ht="15.75">
      <c r="A34" s="8" t="s">
        <v>100</v>
      </c>
      <c r="B34" s="13" t="str">
        <f>IF(OR($K$26&gt;$M$34,$K$26=0),"",$P$29)</f>
        <v/>
      </c>
      <c r="C34" s="14" t="str">
        <f>IF(OR($K$26&gt;=$M$34,$K$26=0),"",(($K$26-$P$28)/$P$32)*12)</f>
        <v/>
      </c>
      <c r="J34" s="22">
        <v>5</v>
      </c>
      <c r="K34" s="19">
        <f>G27</f>
        <v>12041.088534609375</v>
      </c>
      <c r="L34" s="19">
        <f>G29</f>
        <v>12041.088534609375</v>
      </c>
      <c r="M34" s="23">
        <f>M33+K34</f>
        <v>60960.645408046883</v>
      </c>
      <c r="N34" s="4">
        <f>N33+L34</f>
        <v>-76160.818410703112</v>
      </c>
      <c r="O34" s="3"/>
      <c r="P34" s="1"/>
      <c r="Q34" s="1"/>
    </row>
    <row r="35" spans="1:17" ht="15.75">
      <c r="A35" s="9" t="s">
        <v>101</v>
      </c>
      <c r="B35" s="13" t="str">
        <f>IF(OR($L$26&gt;$N$34,$L$26=0),"",$Q$29)</f>
        <v/>
      </c>
      <c r="C35" s="14" t="str">
        <f>IF(OR($L$26&gt;=$N$34,$L$26=0),"",(($L$26-$Q$28)/$Q$32)*12)</f>
        <v/>
      </c>
    </row>
    <row r="37" spans="1:17" ht="19.5" customHeight="1"/>
    <row r="39" spans="1:17">
      <c r="A39" s="80" t="s">
        <v>102</v>
      </c>
      <c r="B39" s="81">
        <v>289461</v>
      </c>
    </row>
    <row r="40" spans="1:17">
      <c r="A40" s="85" t="s">
        <v>103</v>
      </c>
    </row>
    <row r="42" spans="1:17">
      <c r="A42" s="90" t="s">
        <v>57</v>
      </c>
      <c r="B42" s="87"/>
    </row>
    <row r="43" spans="1:17">
      <c r="A43" s="86" t="s">
        <v>58</v>
      </c>
      <c r="B43" s="87"/>
    </row>
    <row r="44" spans="1:17">
      <c r="A44" s="88" t="s">
        <v>105</v>
      </c>
      <c r="B44" s="60"/>
    </row>
    <row r="45" spans="1:17">
      <c r="A45" s="88" t="s">
        <v>60</v>
      </c>
      <c r="B45" s="60"/>
    </row>
    <row r="46" spans="1:17">
      <c r="A46" s="89" t="s">
        <v>61</v>
      </c>
      <c r="B46" s="61"/>
    </row>
  </sheetData>
  <mergeCells count="6">
    <mergeCell ref="N27:N28"/>
    <mergeCell ref="M27:M28"/>
    <mergeCell ref="L27:L28"/>
    <mergeCell ref="K27:K28"/>
    <mergeCell ref="A1:G1"/>
    <mergeCell ref="A9:G9"/>
  </mergeCells>
  <hyperlinks>
    <hyperlink ref="A43" r:id="rId1" location=":~:text=Les%20utilisateurs%20de%20CRM%20connaissent%20une%20augmentation%20du,impulsifs%20apr%C3%A8s%20avoir%20re%C3%A7u%20une%20exp%C3%A9rience%20plus%20personnalis%C3%A9e." xr:uid="{57519DA5-88C0-4779-B55A-D521F243111C}"/>
    <hyperlink ref="A44" r:id="rId2" location="am%C3%A9lioration-des-ventes" xr:uid="{94CC4D46-5E1A-4F63-B355-3904EB34B122}"/>
    <hyperlink ref="A45" r:id="rId3" xr:uid="{B931A275-7559-429B-B3FC-AB37BF45DB09}"/>
    <hyperlink ref="A46" r:id="rId4" xr:uid="{B1F617A7-2E5E-40DF-8815-F7ABDC32431F}"/>
    <hyperlink ref="A40" r:id="rId5" xr:uid="{C947EA06-DE57-4961-87DA-579D46624BC1}"/>
  </hyperlinks>
  <pageMargins left="0.7" right="0.7" top="0.75" bottom="0.75" header="0.3" footer="0.3"/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6BC6C-69EA-4E09-A8BD-8231AEFCAB9A}">
  <dimension ref="A2:L30"/>
  <sheetViews>
    <sheetView tabSelected="1" workbookViewId="0">
      <selection activeCell="A13" sqref="A13"/>
    </sheetView>
  </sheetViews>
  <sheetFormatPr defaultRowHeight="15"/>
  <cols>
    <col min="1" max="1" width="54.7109375" bestFit="1" customWidth="1"/>
    <col min="2" max="2" width="18.5703125" customWidth="1"/>
    <col min="3" max="3" width="36.140625" customWidth="1"/>
    <col min="4" max="4" width="53" customWidth="1"/>
    <col min="5" max="5" width="28.28515625" customWidth="1"/>
    <col min="7" max="7" width="66.7109375" bestFit="1" customWidth="1"/>
    <col min="8" max="8" width="11.28515625" bestFit="1" customWidth="1"/>
    <col min="9" max="9" width="21.28515625" customWidth="1"/>
    <col min="10" max="10" width="11.28515625" bestFit="1" customWidth="1"/>
    <col min="11" max="11" width="19.28515625" customWidth="1"/>
    <col min="12" max="12" width="12.28515625" bestFit="1" customWidth="1"/>
  </cols>
  <sheetData>
    <row r="2" spans="1:12">
      <c r="A2" s="57" t="s">
        <v>107</v>
      </c>
      <c r="B2" s="130">
        <f>E8</f>
        <v>149760</v>
      </c>
      <c r="D2" s="97" t="s">
        <v>107</v>
      </c>
      <c r="E2" s="98"/>
      <c r="G2" s="190" t="s">
        <v>108</v>
      </c>
      <c r="H2" s="192"/>
      <c r="I2" s="193"/>
      <c r="J2" s="131"/>
      <c r="K2" s="131"/>
      <c r="L2" s="188"/>
    </row>
    <row r="3" spans="1:12">
      <c r="A3" s="59" t="s">
        <v>109</v>
      </c>
      <c r="B3" s="100">
        <f>J12</f>
        <v>7660</v>
      </c>
      <c r="C3" s="195"/>
      <c r="D3" s="59" t="s">
        <v>110</v>
      </c>
      <c r="E3" s="96">
        <v>240</v>
      </c>
      <c r="G3" s="68" t="s">
        <v>111</v>
      </c>
      <c r="H3" s="68" t="s">
        <v>112</v>
      </c>
      <c r="I3" s="120" t="s">
        <v>113</v>
      </c>
      <c r="J3" s="132" t="s">
        <v>37</v>
      </c>
      <c r="K3" s="101" t="s">
        <v>114</v>
      </c>
      <c r="L3" s="120" t="s">
        <v>37</v>
      </c>
    </row>
    <row r="4" spans="1:12">
      <c r="A4" s="59" t="s">
        <v>115</v>
      </c>
      <c r="B4" s="100">
        <f>L12</f>
        <v>15320</v>
      </c>
      <c r="C4" s="195"/>
      <c r="D4" s="59" t="s">
        <v>116</v>
      </c>
      <c r="E4" s="96">
        <f>E3*2</f>
        <v>480</v>
      </c>
      <c r="G4" s="191" t="s">
        <v>117</v>
      </c>
      <c r="H4" s="189">
        <v>1000</v>
      </c>
      <c r="I4" s="191">
        <v>1</v>
      </c>
      <c r="J4" s="134">
        <f>H4*I4</f>
        <v>1000</v>
      </c>
      <c r="K4" s="17">
        <v>2</v>
      </c>
      <c r="L4" s="189">
        <f>J4*K4</f>
        <v>2000</v>
      </c>
    </row>
    <row r="5" spans="1:12">
      <c r="A5" s="56" t="s">
        <v>118</v>
      </c>
      <c r="B5" s="102">
        <f>E23</f>
        <v>336</v>
      </c>
      <c r="C5" s="195"/>
      <c r="D5" s="59" t="s">
        <v>119</v>
      </c>
      <c r="E5" s="100">
        <v>13</v>
      </c>
      <c r="G5" s="17" t="s">
        <v>120</v>
      </c>
      <c r="H5" s="134">
        <v>1000</v>
      </c>
      <c r="I5" s="17">
        <v>1</v>
      </c>
      <c r="J5" s="134">
        <f>H5*I5</f>
        <v>1000</v>
      </c>
      <c r="K5" s="17">
        <v>2</v>
      </c>
      <c r="L5" s="134">
        <f>J5*K5</f>
        <v>2000</v>
      </c>
    </row>
    <row r="6" spans="1:12">
      <c r="A6" s="129" t="s">
        <v>121</v>
      </c>
      <c r="B6" s="103">
        <f>SUM(B2:B5)</f>
        <v>173076</v>
      </c>
      <c r="C6" s="195"/>
      <c r="D6" s="59" t="s">
        <v>122</v>
      </c>
      <c r="E6" s="100">
        <v>3</v>
      </c>
      <c r="G6" s="104" t="s">
        <v>123</v>
      </c>
      <c r="H6" s="134">
        <v>1000</v>
      </c>
      <c r="I6" s="17">
        <v>1</v>
      </c>
      <c r="J6" s="134">
        <f>H6*I6</f>
        <v>1000</v>
      </c>
      <c r="K6" s="17">
        <v>2</v>
      </c>
      <c r="L6" s="134">
        <f>J6*K6</f>
        <v>2000</v>
      </c>
    </row>
    <row r="7" spans="1:12">
      <c r="A7" s="57" t="s">
        <v>124</v>
      </c>
      <c r="B7" s="105">
        <f>75*12</f>
        <v>900</v>
      </c>
      <c r="C7" s="195"/>
      <c r="D7" s="59" t="s">
        <v>125</v>
      </c>
      <c r="E7" s="100">
        <v>8</v>
      </c>
      <c r="G7" s="17" t="s">
        <v>126</v>
      </c>
      <c r="H7" s="134">
        <v>1000</v>
      </c>
      <c r="I7" s="17">
        <v>1</v>
      </c>
      <c r="J7" s="134">
        <f>H7*I7</f>
        <v>1000</v>
      </c>
      <c r="K7" s="17">
        <v>2</v>
      </c>
      <c r="L7" s="134">
        <f>J7*K7</f>
        <v>2000</v>
      </c>
    </row>
    <row r="8" spans="1:12">
      <c r="A8" s="59" t="s">
        <v>127</v>
      </c>
      <c r="B8" s="100">
        <v>4</v>
      </c>
      <c r="D8" s="97" t="s">
        <v>128</v>
      </c>
      <c r="E8" s="106">
        <f>E4*E5*E6*E7</f>
        <v>149760</v>
      </c>
      <c r="G8" s="17" t="s">
        <v>129</v>
      </c>
      <c r="H8" s="134">
        <v>900</v>
      </c>
      <c r="I8" s="17">
        <v>1</v>
      </c>
      <c r="J8" s="134">
        <f>H8*I8</f>
        <v>900</v>
      </c>
      <c r="K8" s="17">
        <v>2</v>
      </c>
      <c r="L8" s="134">
        <f>J8*K8</f>
        <v>1800</v>
      </c>
    </row>
    <row r="9" spans="1:12">
      <c r="A9" s="97" t="s">
        <v>130</v>
      </c>
      <c r="B9" s="107">
        <f>B7*B8</f>
        <v>3600</v>
      </c>
      <c r="D9" s="108" t="s">
        <v>131</v>
      </c>
      <c r="E9" s="109">
        <f>E8-E10</f>
        <v>25176</v>
      </c>
      <c r="G9" s="17" t="s">
        <v>132</v>
      </c>
      <c r="H9" s="134">
        <v>1000</v>
      </c>
      <c r="I9" s="17">
        <v>1</v>
      </c>
      <c r="J9" s="134">
        <f>H9*I9</f>
        <v>1000</v>
      </c>
      <c r="K9" s="17">
        <v>2</v>
      </c>
      <c r="L9" s="134">
        <f>J9*K9</f>
        <v>2000</v>
      </c>
    </row>
    <row r="10" spans="1:12">
      <c r="C10" s="195"/>
      <c r="D10" s="99" t="s">
        <v>133</v>
      </c>
      <c r="E10" s="106">
        <f>E8-25176</f>
        <v>124584</v>
      </c>
      <c r="G10" s="17" t="s">
        <v>134</v>
      </c>
      <c r="H10" s="134">
        <f>2*480</f>
        <v>960</v>
      </c>
      <c r="I10" s="17">
        <v>1</v>
      </c>
      <c r="J10" s="134">
        <f>H10*I10</f>
        <v>960</v>
      </c>
      <c r="K10" s="17">
        <v>2</v>
      </c>
      <c r="L10" s="134">
        <f>J10*K10</f>
        <v>1920</v>
      </c>
    </row>
    <row r="11" spans="1:12" ht="15.75">
      <c r="A11" s="110" t="s">
        <v>135</v>
      </c>
      <c r="B11" s="111">
        <f>B6+B9</f>
        <v>176676</v>
      </c>
      <c r="C11" s="194"/>
      <c r="G11" s="17" t="s">
        <v>136</v>
      </c>
      <c r="H11" s="135">
        <v>800</v>
      </c>
      <c r="I11" s="187">
        <v>1</v>
      </c>
      <c r="J11" s="135">
        <f>H11*I11</f>
        <v>800</v>
      </c>
      <c r="K11" s="187">
        <v>2</v>
      </c>
      <c r="L11" s="135">
        <f>J11*K11</f>
        <v>1600</v>
      </c>
    </row>
    <row r="12" spans="1:12" ht="15.75">
      <c r="C12" s="112"/>
      <c r="H12" s="99" t="s">
        <v>67</v>
      </c>
      <c r="I12" s="186">
        <f>SUM(I4:I11)</f>
        <v>8</v>
      </c>
      <c r="J12" s="133">
        <f>SUM(J4:J11)</f>
        <v>7660</v>
      </c>
      <c r="K12" s="186">
        <f>SUM(K4:K11)</f>
        <v>16</v>
      </c>
      <c r="L12" s="133">
        <f>SUM(L4:L11)</f>
        <v>15320</v>
      </c>
    </row>
    <row r="13" spans="1:12">
      <c r="A13" s="127" t="s">
        <v>137</v>
      </c>
      <c r="B13" s="128">
        <f>D27</f>
        <v>2400</v>
      </c>
    </row>
    <row r="15" spans="1:12">
      <c r="C15" s="117"/>
    </row>
    <row r="17" spans="1:5">
      <c r="A17" t="s">
        <v>138</v>
      </c>
    </row>
    <row r="19" spans="1:5">
      <c r="A19" s="113" t="s">
        <v>139</v>
      </c>
    </row>
    <row r="20" spans="1:5">
      <c r="A20" s="17" t="s">
        <v>140</v>
      </c>
      <c r="B20" s="17" t="s">
        <v>141</v>
      </c>
      <c r="C20" s="114" t="s">
        <v>142</v>
      </c>
      <c r="D20" s="114" t="s">
        <v>143</v>
      </c>
      <c r="E20" s="17" t="s">
        <v>144</v>
      </c>
    </row>
    <row r="21" spans="1:5">
      <c r="A21" s="17" t="s">
        <v>145</v>
      </c>
      <c r="B21" s="17">
        <v>8</v>
      </c>
      <c r="C21" s="115">
        <v>200</v>
      </c>
      <c r="D21" s="116">
        <f>C21*B21</f>
        <v>1600</v>
      </c>
      <c r="E21" s="116">
        <f>D21*0.2</f>
        <v>320</v>
      </c>
    </row>
    <row r="22" spans="1:5">
      <c r="A22" s="17" t="s">
        <v>146</v>
      </c>
      <c r="B22" s="17">
        <v>8</v>
      </c>
      <c r="C22" s="115">
        <v>10</v>
      </c>
      <c r="D22" s="116">
        <f>C22*B22</f>
        <v>80</v>
      </c>
      <c r="E22" s="116">
        <f>D22*0.2</f>
        <v>16</v>
      </c>
    </row>
    <row r="23" spans="1:5">
      <c r="C23" s="114" t="s">
        <v>67</v>
      </c>
      <c r="D23" s="126">
        <f>SUM(D21:D22)</f>
        <v>1680</v>
      </c>
      <c r="E23" s="126">
        <f>SUM(E21:E22)</f>
        <v>336</v>
      </c>
    </row>
    <row r="24" spans="1:5">
      <c r="D24" s="124"/>
      <c r="E24" s="124"/>
    </row>
    <row r="25" spans="1:5">
      <c r="A25" s="122" t="s">
        <v>147</v>
      </c>
      <c r="B25" s="123"/>
    </row>
    <row r="26" spans="1:5">
      <c r="A26" s="119" t="s">
        <v>125</v>
      </c>
      <c r="B26" s="119" t="s">
        <v>148</v>
      </c>
      <c r="C26" s="120" t="s">
        <v>149</v>
      </c>
      <c r="D26" s="120" t="s">
        <v>37</v>
      </c>
      <c r="E26" s="101"/>
    </row>
    <row r="27" spans="1:5">
      <c r="A27" s="17">
        <v>1</v>
      </c>
      <c r="B27" s="121">
        <v>480</v>
      </c>
      <c r="C27" s="17">
        <v>5</v>
      </c>
      <c r="D27" s="125">
        <f>B27*C27*A27</f>
        <v>2400</v>
      </c>
    </row>
    <row r="28" spans="1:5">
      <c r="A28" s="101"/>
      <c r="B28" s="118"/>
    </row>
    <row r="29" spans="1:5">
      <c r="B29" s="117"/>
    </row>
    <row r="30" spans="1:5">
      <c r="B30" s="11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AE86B12B2892468B4E66F9F0873F45" ma:contentTypeVersion="16" ma:contentTypeDescription="Create a new document." ma:contentTypeScope="" ma:versionID="40c06be0097462ae84e73f209560d3f4">
  <xsd:schema xmlns:xsd="http://www.w3.org/2001/XMLSchema" xmlns:xs="http://www.w3.org/2001/XMLSchema" xmlns:p="http://schemas.microsoft.com/office/2006/metadata/properties" xmlns:ns2="5e559808-d930-4970-91a1-bd6f234f8931" xmlns:ns3="e8aab117-5955-4390-81ce-465e4528e65f" targetNamespace="http://schemas.microsoft.com/office/2006/metadata/properties" ma:root="true" ma:fieldsID="aa8c8b2366abf9a3a679a3cd5c8f77fc" ns2:_="" ns3:_="">
    <xsd:import namespace="5e559808-d930-4970-91a1-bd6f234f8931"/>
    <xsd:import namespace="e8aab117-5955-4390-81ce-465e4528e6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Typededocument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559808-d930-4970-91a1-bd6f234f89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1ffef63-4b63-4086-abdd-edc9d15470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ypededocument" ma:index="21" nillable="true" ma:displayName="Type de document" ma:format="Dropdown" ma:internalName="Typededocument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aab117-5955-4390-81ce-465e4528e65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d325a2c-4f9d-485a-8b53-02385c9b2f22}" ma:internalName="TaxCatchAll" ma:showField="CatchAllData" ma:web="e8aab117-5955-4390-81ce-465e4528e6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ypededocument xmlns="5e559808-d930-4970-91a1-bd6f234f8931" xsi:nil="true"/>
    <TaxCatchAll xmlns="e8aab117-5955-4390-81ce-465e4528e65f" xsi:nil="true"/>
    <lcf76f155ced4ddcb4097134ff3c332f xmlns="5e559808-d930-4970-91a1-bd6f234f8931">
      <Terms xmlns="http://schemas.microsoft.com/office/infopath/2007/PartnerControls"/>
    </lcf76f155ced4ddcb4097134ff3c332f>
    <SharedWithUsers xmlns="e8aab117-5955-4390-81ce-465e4528e65f">
      <UserInfo>
        <DisplayName>Christelle TCHALLA</DisplayName>
        <AccountId>1186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31A4E65B-488B-4C07-9FFC-F60A06E56A8F}"/>
</file>

<file path=customXml/itemProps2.xml><?xml version="1.0" encoding="utf-8"?>
<ds:datastoreItem xmlns:ds="http://schemas.openxmlformats.org/officeDocument/2006/customXml" ds:itemID="{CF41042F-2973-4D7D-834C-5B49DE00443C}"/>
</file>

<file path=customXml/itemProps3.xml><?xml version="1.0" encoding="utf-8"?>
<ds:datastoreItem xmlns:ds="http://schemas.openxmlformats.org/officeDocument/2006/customXml" ds:itemID="{28CF938E-7499-422D-8EE8-D75A335DB1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Gilles SAUVAGEON</dc:creator>
  <cp:keywords/>
  <dc:description/>
  <cp:lastModifiedBy>Etienne BERNOULI [EKVY]</cp:lastModifiedBy>
  <cp:revision/>
  <dcterms:created xsi:type="dcterms:W3CDTF">2019-04-23T16:17:05Z</dcterms:created>
  <dcterms:modified xsi:type="dcterms:W3CDTF">2023-11-21T12:54:37Z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0x01010051AE86B12B2892468B4E66F9F0873F45</vt:lpwstr>
  </property>
  <property fmtid="{D5CDD505-2E9C-101B-9397-08002B2CF9AE}" pid="3" name="MediaServiceImageTags">
    <vt:lpwstr/>
  </property>
</Properties>
</file>