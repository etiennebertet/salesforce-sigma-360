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18"/>
  <workbookPr defaultThemeVersion="166925"/>
  <xr:revisionPtr revIDLastSave="8431" documentId="11_E96DB48D2245728CBD806CD5547DE1BC52416EA4" xr6:coauthVersionLast="47" xr6:coauthVersionMax="47" xr10:uidLastSave="{20F2C3D5-E2F4-4BA4-B98F-D23BF83FEB59}"/>
  <bookViews>
    <workbookView xWindow="240" yWindow="105" windowWidth="14805" windowHeight="8010" firstSheet="2" xr2:uid="{00000000-000D-0000-FFFF-FFFF00000000}"/>
  </bookViews>
  <sheets>
    <sheet name="Planning" sheetId="2" r:id="rId1"/>
    <sheet name="UAT &amp; Go Live" sheetId="14" r:id="rId2"/>
    <sheet name="Time Tracking" sheetId="13" r:id="rId3"/>
    <sheet name="Duration of activities" sheetId="10" r:id="rId4"/>
    <sheet name="Org Chart" sheetId="7" r:id="rId5"/>
    <sheet name="Comitology" sheetId="8" r:id="rId6"/>
  </sheets>
  <definedNames>
    <definedName name="_xlnm._FilterDatabase" localSheetId="2" hidden="1">'Time Tracking'!$A$3:$Q$36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6" i="13" l="1"/>
  <c r="O116" i="13"/>
  <c r="M116" i="13"/>
  <c r="K116" i="13"/>
  <c r="I116" i="13"/>
  <c r="G116" i="13"/>
  <c r="E116" i="13"/>
  <c r="C116" i="13"/>
  <c r="R116" i="13"/>
  <c r="S117" i="13"/>
  <c r="H11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Etienne BERNOULI [EKVY]</author>
  </authors>
  <commentList>
    <comment ref="C3" authorId="0" shapeId="0" xr:uid="{3C3A63FD-A520-4BC1-A498-EA39047C593B}">
      <text>
        <r>
          <rPr>
            <sz val="11"/>
            <color theme="1"/>
            <rFont val="Calibri"/>
            <family val="2"/>
            <scheme val="minor"/>
          </rPr>
          <t xml:space="preserve">Etienne BERNOULI [EKVY]:
</t>
        </r>
      </text>
    </comment>
  </commentList>
</comments>
</file>

<file path=xl/sharedStrings.xml><?xml version="1.0" encoding="utf-8"?>
<sst xmlns="http://schemas.openxmlformats.org/spreadsheetml/2006/main" count="1169" uniqueCount="597">
  <si>
    <t>SIGMA 360 PROJECT</t>
  </si>
  <si>
    <t>SALESFORCE/SALES CLOUD
PROFESSIONAL EDITION</t>
  </si>
  <si>
    <t> </t>
  </si>
  <si>
    <t>Open Project Gantt Diagram</t>
  </si>
  <si>
    <t>​Responsible of Document: 10/09/2023 Etienne BERNOULI, 16/10/2023 Samira MHAMSA, 13/11/2023 Elisa FAUCI</t>
  </si>
  <si>
    <t>EKOVYA Project Tracker Open Project</t>
  </si>
  <si>
    <t>Author:  Elisa FAUCI, Samira MHAMSA 21/08/2023</t>
  </si>
  <si>
    <t>Macro Planning</t>
  </si>
  <si>
    <t>Last update:  Samira MHAMSA 03/11/2023</t>
  </si>
  <si>
    <t>TEAM CRM ALPHA</t>
  </si>
  <si>
    <t>Project Director:        Philippe Bassot</t>
  </si>
  <si>
    <t>Consultants Availability :       3 Full Days/Week</t>
  </si>
  <si>
    <t>Post-Go Live period = 1% of project's time</t>
  </si>
  <si>
    <t>Number of consultants: 8</t>
  </si>
  <si>
    <t>Materials needed: 8 computers + mouses + Internet connection (Account 78112. "Immobilisations corporelles") [Amortization]</t>
  </si>
  <si>
    <r>
      <rPr>
        <sz val="11"/>
        <color rgb="FF000000"/>
        <rFont val="Calibri"/>
      </rPr>
      <t xml:space="preserve">Landscape : Virtual environnements : Playgrounds + Dev + QA + PreProd + Prod = </t>
    </r>
    <r>
      <rPr>
        <b/>
        <sz val="11"/>
        <color rgb="FF000000"/>
        <rFont val="Calibri"/>
      </rPr>
      <t>4 SF environments + playgrounds</t>
    </r>
  </si>
  <si>
    <t>Sales cloud Licences x 4 Professional edition (official)</t>
  </si>
  <si>
    <t>Sales Cloud Licences  x 1 Professional edition (IRL)</t>
  </si>
  <si>
    <t>Color Legend</t>
  </si>
  <si>
    <t>Done</t>
  </si>
  <si>
    <t>Done and often actualized</t>
  </si>
  <si>
    <t>Ongoing</t>
  </si>
  <si>
    <t>Important - not started</t>
  </si>
  <si>
    <t>Important - started</t>
  </si>
  <si>
    <t>Not Mandatory</t>
  </si>
  <si>
    <t>Canceled</t>
  </si>
  <si>
    <t>PREPARATION PHASE</t>
  </si>
  <si>
    <t>Room for manoeuver</t>
  </si>
  <si>
    <t>Month</t>
  </si>
  <si>
    <t>August</t>
  </si>
  <si>
    <t>October</t>
  </si>
  <si>
    <t>November</t>
  </si>
  <si>
    <t>December</t>
  </si>
  <si>
    <t>Weeks</t>
  </si>
  <si>
    <t>Dates</t>
  </si>
  <si>
    <t>28/08/2028</t>
  </si>
  <si>
    <t>16/10/2023</t>
  </si>
  <si>
    <t>17/10/2023</t>
  </si>
  <si>
    <t>18/10/2023</t>
  </si>
  <si>
    <t>19/10/2023</t>
  </si>
  <si>
    <t>20/10/2023</t>
  </si>
  <si>
    <t>23/10/2023</t>
  </si>
  <si>
    <t>24/10/2023</t>
  </si>
  <si>
    <t>25/10/2023</t>
  </si>
  <si>
    <t>26/10/2023</t>
  </si>
  <si>
    <t>27/10/2023</t>
  </si>
  <si>
    <t>30/10/2023</t>
  </si>
  <si>
    <t>31/10/2023</t>
  </si>
  <si>
    <t>Tasks</t>
  </si>
  <si>
    <t>Description</t>
  </si>
  <si>
    <t>Document(s)</t>
  </si>
  <si>
    <t>Level of Progress</t>
  </si>
  <si>
    <t>Task Manager/Responsible</t>
  </si>
  <si>
    <t>KICK OFF!</t>
  </si>
  <si>
    <t>GO LIVE!</t>
  </si>
  <si>
    <t>Time Tracking</t>
  </si>
  <si>
    <t>Recording work hours of the consultants of the team CRM Alpha for the project SIGMA360 Salesforce</t>
  </si>
  <si>
    <t xml:space="preserve">To be actualized in Real-Time </t>
  </si>
  <si>
    <t>Etienne</t>
  </si>
  <si>
    <t>Gantt Diagram</t>
  </si>
  <si>
    <t>To be presented every Steering Comitee, with tasks and time allocation.</t>
  </si>
  <si>
    <t>/</t>
  </si>
  <si>
    <t>S360-SAF-MACRO PLANNING-23Q3-TEAM-V.1.xlsx</t>
  </si>
  <si>
    <t>Samira</t>
  </si>
  <si>
    <t>Project planification</t>
  </si>
  <si>
    <t>S360-SAF-DETAILED_ORGANIZATION-210923-TEAM-V1.docx</t>
  </si>
  <si>
    <t>Etienne, collaborative</t>
  </si>
  <si>
    <t>Morning</t>
  </si>
  <si>
    <t>Workshop/ First meeting/ Reception of needs</t>
  </si>
  <si>
    <t>?????</t>
  </si>
  <si>
    <t>S360-SAF-REQUIREMENTS REVIEW-23Q3-OPEN-V1.docx</t>
  </si>
  <si>
    <t>Collaborative</t>
  </si>
  <si>
    <t>Landscape Definition</t>
  </si>
  <si>
    <r>
      <t xml:space="preserve">Common Playground (personal accounts), Dev (1 trailhead common account), QA (UAT) (1 trailhead playground account, 2 users), Training (no training), PreProd (no PreProd), Production </t>
    </r>
    <r>
      <rPr>
        <b/>
        <i/>
        <sz val="11"/>
        <color rgb="FF000000"/>
        <rFont val="Calibri"/>
      </rPr>
      <t>(1 licence professional)</t>
    </r>
  </si>
  <si>
    <t>See case on the left</t>
  </si>
  <si>
    <t>COPIL</t>
  </si>
  <si>
    <t>PRE-COPIL</t>
  </si>
  <si>
    <t>Requirements Review</t>
  </si>
  <si>
    <t>How many workshops/days we need to integrate/harvest all requirements.</t>
  </si>
  <si>
    <t>S360-SAF-REQUIREMENTS REVIEW-23Q4-OPEN-V1.1</t>
  </si>
  <si>
    <t>Olivier/ Etienne</t>
  </si>
  <si>
    <t>Evening</t>
  </si>
  <si>
    <t>Scoping</t>
  </si>
  <si>
    <t>A meeting with the client to define the budget (BigBudget) and the limits of the project. Confidential information, organization charts. Reading between the lines. It's all about clearing the ground, getting as real a picture of the company as possible.</t>
  </si>
  <si>
    <t>S360-SAF-SCOPING_NOTE-23Q3-OPEN-V1</t>
  </si>
  <si>
    <t>Ishikawa's diagram</t>
  </si>
  <si>
    <t>Delimiting the scope of the project in relation to methods, environment, materials, management, manpower and measurements.</t>
  </si>
  <si>
    <t>See below Tab: "Org Chart"</t>
  </si>
  <si>
    <t>Elisa</t>
  </si>
  <si>
    <t>Big Case Estimation, Budget &amp; ROI</t>
  </si>
  <si>
    <t xml:space="preserve">10% error margin. The project's perimeter is not specifiable to 100%. </t>
  </si>
  <si>
    <t>S360-SAF-ROI-23Q3-TEAM-V0.1.xlsx</t>
  </si>
  <si>
    <t>Organization chart</t>
  </si>
  <si>
    <t>Organigram creation to fluidify the organization of work.</t>
  </si>
  <si>
    <t>See below Tab: "Organigrams"</t>
  </si>
  <si>
    <t>Dyhia</t>
  </si>
  <si>
    <t>Risk Matrix</t>
  </si>
  <si>
    <t>We need to explain this to the client who has no clue. This is something that we elaborate with the customer after having drawn a risk matrice. This is the most accurate (precise) document available on the finished project.</t>
  </si>
  <si>
    <t>S360-SAF-RISK_MATRIX-23Q3-TEAM-V0.1.xlsx</t>
  </si>
  <si>
    <t>Creation by Atif and Elisa. Almost done. Needs translation and reevaluation of criticality factorization.</t>
  </si>
  <si>
    <t>Atif</t>
  </si>
  <si>
    <t>Comitees organization</t>
  </si>
  <si>
    <t>Create a planning foretelling every comitee during the project, with explanation of the results of each meeting to follow the project and the relations between stakeholders.</t>
  </si>
  <si>
    <t>See below Tab: "Comitology"</t>
  </si>
  <si>
    <t xml:space="preserve">Documentary Naming Convention </t>
  </si>
  <si>
    <t>Consists of four parts separated by an underscore to identify the document.</t>
  </si>
  <si>
    <t>S360-SAF-NAMING_CONVENTION_SALESFORCE_CRM_ALPHA-23Q3-OPEN.V1.pptx</t>
  </si>
  <si>
    <t>Codification and proofreading procedure to be edited</t>
  </si>
  <si>
    <t>List of deliverables</t>
  </si>
  <si>
    <t>List of every deliverable with agreements on how to evaluate the ongoing of each one: done/not done, percentage, number of versions. It allows visibility upon the advancement of the project.</t>
  </si>
  <si>
    <t>S360-SAF-LIST OF DELIVERABLES-23Q3-REST-V.01.pptx</t>
  </si>
  <si>
    <t xml:space="preserve">Must decide if the completion of material tasks (software implementation and integration) should be added to the list of deliverables, or if it is only about documentation. </t>
  </si>
  <si>
    <t>Fanta</t>
  </si>
  <si>
    <t>Marketing KPIs Workshop</t>
  </si>
  <si>
    <t>With the Client in order to define the KPI Marketing</t>
  </si>
  <si>
    <t>Marketing KPI definition</t>
  </si>
  <si>
    <t>Define which elements can be taken into account to assess the project's evolution: Progress in % ; Gap between expected deadline VS reality​ ; Finances: Expected budget VS Actual consumption.</t>
  </si>
  <si>
    <t>Included in the Requirements reviews</t>
  </si>
  <si>
    <t>Workshop with Elizabeth, Sales &amp; Mark. Director</t>
  </si>
  <si>
    <t xml:space="preserve">Planning a workshop to evaluate the cost of product selling in terms of hours worked by salespersons </t>
  </si>
  <si>
    <t>Data included in ROI</t>
  </si>
  <si>
    <t>ROI calculation</t>
  </si>
  <si>
    <t xml:space="preserve">Calculating the ROI. To be presented next Steering Comitee. </t>
  </si>
  <si>
    <t>Waiting improvement with Elizabeth's workshop on time economy of sale making.</t>
  </si>
  <si>
    <t xml:space="preserve">Feasibility study </t>
  </si>
  <si>
    <t>Risk analysis to define acceptable margins of error.</t>
  </si>
  <si>
    <t>S360-SAF-FEASIBILITY STUDY-23Q3-OPEN-V1-23Q3-TEAM-V0.1.xlsx</t>
  </si>
  <si>
    <t>Elisa, Dyhia</t>
  </si>
  <si>
    <t>S360-SAF-FEASABILITY STUDY-23Q3-TEAM-V0.2 - Copy.docx</t>
  </si>
  <si>
    <t>Commercial proposition</t>
  </si>
  <si>
    <t>Indicative as we are working internally within the company. Not mandatory as pricing is already included in Budget and ROI.</t>
  </si>
  <si>
    <t>Not mandatory</t>
  </si>
  <si>
    <t>Deliverables validation</t>
  </si>
  <si>
    <t>Must plan to create a column in the list of deliverable to link final and validated version of deliverables (PDF).</t>
  </si>
  <si>
    <t>Waiting for validation of the Direction.</t>
  </si>
  <si>
    <t>Blueprint</t>
  </si>
  <si>
    <t>Everything the client needs, wants, and is realisable. (But this is not "how" we're gonna do it.) Max of information/min of ressources.</t>
  </si>
  <si>
    <t>S360-SAF-BLUEPRINT-23Q4-OPEN-V0.4</t>
  </si>
  <si>
    <t>Waiting for validation.</t>
  </si>
  <si>
    <t>Go,No go</t>
  </si>
  <si>
    <t>DESIGN PHASE</t>
  </si>
  <si>
    <t>Hardware Resources Definition</t>
  </si>
  <si>
    <t xml:space="preserve">Materials needed: 8 computers + 8 mouses + Internet connection (Account 78112. "Immobilisations corporelles") [Amortization] The Cloud SI infrastructure is taken in charge by Salesforce. </t>
  </si>
  <si>
    <t>See the case on the left</t>
  </si>
  <si>
    <t>Software Resources Definition</t>
  </si>
  <si>
    <t>Salesforce licences and editions. to be included in the budget.</t>
  </si>
  <si>
    <t>See below Tab: "Budget"</t>
  </si>
  <si>
    <t>In progress. To be included in the ROI calculation.</t>
  </si>
  <si>
    <t>Ekovya Website Sandbox</t>
  </si>
  <si>
    <t>Developer/Sandbox edition of the website to not work directly into production.</t>
  </si>
  <si>
    <t>https://sandbox.ekovya.com/wp-admin/</t>
  </si>
  <si>
    <r>
      <rPr>
        <sz val="12"/>
        <color rgb="FF000000"/>
        <rFont val="Calibri"/>
      </rPr>
      <t>Menu Elementor not working.
User : smm@ekovya.com
Pass :</t>
    </r>
    <r>
      <rPr>
        <b/>
        <sz val="12"/>
        <color rgb="FF000000"/>
        <rFont val="Calibri"/>
      </rPr>
      <t xml:space="preserve"> ???</t>
    </r>
  </si>
  <si>
    <t>Amos</t>
  </si>
  <si>
    <t>Ekovya Website Design</t>
  </si>
  <si>
    <t>Creation of website design: structure and content without e-commerce.</t>
  </si>
  <si>
    <t>https://www.figma.com/file/wxyXPHc0l859PU6PCVzcbz/Website-Mock-up?type=design&amp;mode=design&amp;t=ryG0hWZ5bFuAmwUq-1</t>
  </si>
  <si>
    <t>Elisa: “Blog Ekovya”, Menu and footer. 
Samira: “Qui sommes-nous ?”
Mohamed: “Contact” 
Fanta: “Infos pratiques”
Dyhia et Olivier: “Accueil”, “Rejoignez-nous”</t>
  </si>
  <si>
    <t>E-Commerce Design</t>
  </si>
  <si>
    <t xml:space="preserve">Anticipating how the catalogue will be presented on the e-commerce website. The e-commerce will be accessible on the one and only website, via the menu directing to the page "Catalogue".
Creation of a model (visual only). 
ISSUE: No native "request quote" button in WooCommerce =&gt; Search for plug-in. </t>
  </si>
  <si>
    <t>https://www.figma.com/file/wxyXPHc0l859PU6PCVzcbz/Website-Mock-up?type=design&amp;mode=design&amp;t=pdNpACuQVF9QvZKM-1</t>
  </si>
  <si>
    <t>graphic_chart_ekovya.pdf</t>
  </si>
  <si>
    <t>Website Mock-Up Design</t>
  </si>
  <si>
    <t xml:space="preserve">Creation of a visual representation of the website. </t>
  </si>
  <si>
    <t>In Progress</t>
  </si>
  <si>
    <t>https://www.figma.com/file/wxyXPHc0l859PU6PCVzcbz/Website-Mock-up?type=design&amp;node-id=0%3A1&amp;mode=design&amp;t=zfdwDG2P2957aj27-1</t>
  </si>
  <si>
    <t>Etienne, Fanta</t>
  </si>
  <si>
    <t xml:space="preserve">Product Sheets Mock-Up Design </t>
  </si>
  <si>
    <t>Creation of a visual representation of product layouts on e-commerce website.</t>
  </si>
  <si>
    <t>EKOVYA_SIGMA_360_PRODUCT_SHEET_MOCK-UP V1.1.png</t>
  </si>
  <si>
    <t>https://www.figma.com/file/6gjjE67dBt8p3T5p69Z8pO/EKOVYA_SIGMA_360_PRODUCT_SHEET_MOCK-UP?type=design&amp;node-id=0%3A1&amp;mode=design&amp;t=2cB8L1DZFNdGQfs3-1</t>
  </si>
  <si>
    <t>Information System Architecture</t>
  </si>
  <si>
    <r>
      <rPr>
        <sz val="11"/>
        <color rgb="FF000000"/>
        <rFont val="Calibri"/>
        <scheme val="minor"/>
      </rPr>
      <t xml:space="preserve">Providing visual representation of the information eco-system, describing how each software is used and connected. 
</t>
    </r>
    <r>
      <rPr>
        <b/>
        <sz val="11"/>
        <color rgb="FF000000"/>
        <rFont val="Calibri"/>
        <scheme val="minor"/>
      </rPr>
      <t xml:space="preserve">Must provide insights on project's scope. </t>
    </r>
    <r>
      <rPr>
        <sz val="11"/>
        <color rgb="FF000000"/>
        <rFont val="Calibri"/>
        <scheme val="minor"/>
      </rPr>
      <t>(What is meant to be deployed and integrated within time limit).</t>
    </r>
  </si>
  <si>
    <t>EKOVYA_SIGMA360_SAF_SI_ARCHITECTURE_23Q4_V0.4.jpg</t>
  </si>
  <si>
    <t>https://www.figma.com/file/Bl364P4GQqynwWhOpna9Hi/Untitled?type=design&amp;node-id=0%3A1&amp;mode=design&amp;t=GHIlsmAr5Ek8ygYW-1</t>
  </si>
  <si>
    <t>BP Customer Journey Design</t>
  </si>
  <si>
    <t>The main Business Process, modeling the customer journey and the associated data in the data architecture.</t>
  </si>
  <si>
    <t>Ekovya's customer jour... | EKOVYA</t>
  </si>
  <si>
    <t>Fidelisation phase to be written.</t>
  </si>
  <si>
    <t>BP "Lead to Opportunity" Design</t>
  </si>
  <si>
    <t>Designing how customer e-mails are going to be recuperated and transferred in Salesforce, then used for mail deliverance and campaigns (Brevo?).</t>
  </si>
  <si>
    <t>Ekovya's BP Lead To Op... | EKOVYA</t>
  </si>
  <si>
    <t>Mohamed, Samira</t>
  </si>
  <si>
    <t>BP "Opportunity to Customer" Process Design</t>
  </si>
  <si>
    <t xml:space="preserve">Designing how the payment via the website will be processed and sent to both Salesforce and SAP to command the expedition of products. </t>
  </si>
  <si>
    <t>Editing Page Ekovya BP Opportunity ... | EKOVYA</t>
  </si>
  <si>
    <t>BP SAP
Rétroplanning Organisation-Activity-Phase ERP 7 V 0.5,.xlsm</t>
  </si>
  <si>
    <t>Etienne, Yoann, Mohamed</t>
  </si>
  <si>
    <t>BP "Mailing Campaign"</t>
  </si>
  <si>
    <t xml:space="preserve">Designing how mails will be distributed, why, when, and via which chanel. </t>
  </si>
  <si>
    <t>Ekovya BP Mailing Camp... | EKOVYA</t>
  </si>
  <si>
    <t>Olivier</t>
  </si>
  <si>
    <t>BP "Sales to Service"</t>
  </si>
  <si>
    <t>Customer Reclamation BP Design</t>
  </si>
  <si>
    <t>Ekovya BP Sales to Ser... | EKOVYA</t>
  </si>
  <si>
    <t>Waiting for validation by Elizabeth</t>
  </si>
  <si>
    <t>Dyhia, Fanta, Atif</t>
  </si>
  <si>
    <t>KPIs Recuperation Process</t>
  </si>
  <si>
    <t>Which KPI can be captured, when and by which BP.
See case on the right =&gt;</t>
  </si>
  <si>
    <t>Exception made of the "Cart Abandon Rate", which is included in the BP Customer Journey because it involves an automatic marketing action (=&gt; an e-mail reminder), all KPIs will be collected via Google Analytics and Google Ads, or will be available directly in WooCommerce or in Salesforce's Reports &amp; Dashboards.</t>
  </si>
  <si>
    <t>The "Cart Abandon Rate" is Included in the BP Mailing because it is used as an Marketing Automation Input</t>
  </si>
  <si>
    <t>Olivier, Dyhia, Etienne</t>
  </si>
  <si>
    <t>Hubspot data migration design</t>
  </si>
  <si>
    <t>Canceled by decision of Alexandre</t>
  </si>
  <si>
    <t>Waiting for Hubspot Access</t>
  </si>
  <si>
    <t>MCD creation</t>
  </si>
  <si>
    <t>Creation of the Data Conceptual Model.</t>
  </si>
  <si>
    <t>https://edumotic.sharepoint.com/:b:/s/EKOVYA/EX4xPxQqF5REioRlz-rh_N8B0ACN83aWn6VEbdd4AvPbIQ?e=TBCOBg</t>
  </si>
  <si>
    <t>Accessible on Salesforce</t>
  </si>
  <si>
    <t>Atif, Dyhia, Etienne, Mohamed</t>
  </si>
  <si>
    <t>Authorizations matrix</t>
  </si>
  <si>
    <t>Sales Representatives: permission to access their own records, 
sales functions, parts of reporting, and the ability to show the level 
of stock.</t>
  </si>
  <si>
    <t>S360-SAF-AUTHORIZATIONS_MATRIX-23Q4-OPEN-V0.1</t>
  </si>
  <si>
    <t>Etienne, Dyhia</t>
  </si>
  <si>
    <t>BUILD PHASE</t>
  </si>
  <si>
    <t>Salesforce Sales Cloud Professional Edition License Purchase</t>
  </si>
  <si>
    <t>Ask Alexandre to buy Sales Cloud licenses*2</t>
  </si>
  <si>
    <t>Connecting Google Analytics to Wordpress</t>
  </si>
  <si>
    <t>Fanta, Dyhia, Etienne</t>
  </si>
  <si>
    <t>Develop products catalogue</t>
  </si>
  <si>
    <t>Creation and update of the products catalogue.</t>
  </si>
  <si>
    <t>CATALOGUE EKOVYA 2023.pptx</t>
  </si>
  <si>
    <t>Elisa, Olivier</t>
  </si>
  <si>
    <t>Mapping product Salesforce to Woocommerce</t>
  </si>
  <si>
    <t>Match fields in both system</t>
  </si>
  <si>
    <t>Etienne et Atif : Product ; Samira et Mohamed : Customer ; Order : Fanta Dyhia</t>
  </si>
  <si>
    <t>Equipe</t>
  </si>
  <si>
    <t>Caterory pages creation</t>
  </si>
  <si>
    <t>Connecting Salesforce to WooCommerce with PowerAutomate</t>
  </si>
  <si>
    <t>groupe 1: Mohamed, Samira, Groupe 2: Fanta, Dyhia</t>
  </si>
  <si>
    <t>Create automated flows between WooCommerce and Salesforce</t>
  </si>
  <si>
    <t>Etienne : Product ; Samira, Olivier et Mohamed : Customer ; Order : Fanta Dyhia et Elisa en support</t>
  </si>
  <si>
    <t>Connecting Brevo to Salesforce</t>
  </si>
  <si>
    <t>DOMO ?</t>
  </si>
  <si>
    <t>Event bus programmation</t>
  </si>
  <si>
    <t>Organizing chronologically automation of API request between systems</t>
  </si>
  <si>
    <t>Important</t>
  </si>
  <si>
    <t>Using Mulesoft</t>
  </si>
  <si>
    <t>Mohamed</t>
  </si>
  <si>
    <t>Monitoring data transfer</t>
  </si>
  <si>
    <t xml:space="preserve">Providing monitoring tools to manage API data flows between systems. </t>
  </si>
  <si>
    <t>Connecting Google Analytics to Salesforce</t>
  </si>
  <si>
    <t>Dyhia, Etienne</t>
  </si>
  <si>
    <t>Connecting SAP to Salesforce</t>
  </si>
  <si>
    <r>
      <rPr>
        <sz val="11"/>
        <color rgb="FF000000"/>
        <rFont val="Calibri"/>
        <scheme val="minor"/>
      </rPr>
      <t>Establishing scheme to transfer data from SAP to Salesforce.
Need regular official meetings with SAP team. 
Using Mulesoft/Power Automate/Talend as a middleware. Working in cooperation with a person of the SAP team (Yoann). 
Must collect all required data field from SAP</t>
    </r>
    <r>
      <rPr>
        <b/>
        <sz val="11"/>
        <color rgb="FF000000"/>
        <rFont val="Calibri"/>
        <scheme val="minor"/>
      </rPr>
      <t>. (See mail from Yoann)</t>
    </r>
  </si>
  <si>
    <t>SAP-SALESFORCE Connexion</t>
  </si>
  <si>
    <t>Mohamed, Fanta, Etienne</t>
  </si>
  <si>
    <t>PRE-PRODUCTION</t>
  </si>
  <si>
    <t xml:space="preserve">Making sure that the development editions are ready to switch into Production edition. </t>
  </si>
  <si>
    <t>Coming soon</t>
  </si>
  <si>
    <t>Website Pre-Production</t>
  </si>
  <si>
    <t>Preparing DEV in anticipation of PROD transfer.</t>
  </si>
  <si>
    <t>S360-SAF-LIST_API_KEYS_EKOVYA_COM-OPEN-23Q4-V0.1</t>
  </si>
  <si>
    <t>Must add products, e-commerce design, account creation form and registration to newsletter.</t>
  </si>
  <si>
    <t>Brevo Pre-Production</t>
  </si>
  <si>
    <t>Google Analytics Pre-Production</t>
  </si>
  <si>
    <t>Publer Pre-Production</t>
  </si>
  <si>
    <t>Salesforce Pre-Production</t>
  </si>
  <si>
    <t>SAF &lt;=&gt; SAP Pre-Production</t>
  </si>
  <si>
    <t>DELIVERY PHASE</t>
  </si>
  <si>
    <t>CUSTOMIZING GUIDES  WOOCOMMERCE</t>
  </si>
  <si>
    <t>S360-SAF-CUSTOMIZING GUIDE WOOCOMMERCE-23Q4-TEAMS-V0.1</t>
  </si>
  <si>
    <t>CUSTOMIZING GUIDES  WEBSITE</t>
  </si>
  <si>
    <t>S360-SAF-CUSTOMIZING GUIDE WEBSITE-23Q4-TEAMS-V0.1</t>
  </si>
  <si>
    <t>Fanta et Etienne</t>
  </si>
  <si>
    <t>CUSTOMIZING GUIDES SALESFORCE</t>
  </si>
  <si>
    <t>One guide for each Business Process (or each user profile).</t>
  </si>
  <si>
    <t>S360-SAF-CUSTOMIZING GUIDE SALESFORCE-23Q4-TEAMS-V0.1</t>
  </si>
  <si>
    <t>Atif, Dyhia, Samira</t>
  </si>
  <si>
    <t>TRAINING GUIDES</t>
  </si>
  <si>
    <t>To be build from the End Users Guide and optimized for training. (No concrete training phase in this project).</t>
  </si>
  <si>
    <t>S360-SAF-SALESFORCE USER TRAINING-23Q4-OPEN-V0.1.pptx</t>
  </si>
  <si>
    <t>END USERS GUIDES / SALESFORCE</t>
  </si>
  <si>
    <t>Documentation expected</t>
  </si>
  <si>
    <t>TRAINING GUIDE UAT</t>
  </si>
  <si>
    <t>Learning support to teach users how to use Squash for tests campaigns</t>
  </si>
  <si>
    <t>Squash TM | EKOVYA</t>
  </si>
  <si>
    <t>Yoann</t>
  </si>
  <si>
    <t>TESTS LIST</t>
  </si>
  <si>
    <t>List test according to each dates of evaluation.</t>
  </si>
  <si>
    <t>S360-SAF-LIST UAT-23Q4-TEAMS-V0.1</t>
  </si>
  <si>
    <t>Samira, Dyhia, Etienne, Elisa</t>
  </si>
  <si>
    <t>UAT</t>
  </si>
  <si>
    <t xml:space="preserve">10/11/2023 (Started 08/11)
Need to be over 90% success rate with no critical blocking. 1 day duration.
Must use Squash to procedure formalization. </t>
  </si>
  <si>
    <t>13_UAT</t>
  </si>
  <si>
    <t xml:space="preserve">08/11/2023 - First step: training - complete
Participants: Marjorie, Sophia, Assia
10/11/2023 - Second step - complete
Participants: , Sophia, Assia
</t>
  </si>
  <si>
    <t>Elisa, Etienne, Olivier, Samira</t>
  </si>
  <si>
    <t>Corrective reparation</t>
  </si>
  <si>
    <t>Payment</t>
  </si>
  <si>
    <t>If UAT = OK =&gt; payment</t>
  </si>
  <si>
    <t>PRODUCTION</t>
  </si>
  <si>
    <t>Website Production</t>
  </si>
  <si>
    <t>Implementing DEV settings into PROD environment.</t>
  </si>
  <si>
    <t>Brevo Production</t>
  </si>
  <si>
    <t>Google Analytics Production</t>
  </si>
  <si>
    <t>Publer Production</t>
  </si>
  <si>
    <t>Salesforce Production</t>
  </si>
  <si>
    <t>SAF &lt;=&gt; SAP Production</t>
  </si>
  <si>
    <t>GO LIVES (Milestones, not events, neither tasks)</t>
  </si>
  <si>
    <t>Website Go Live</t>
  </si>
  <si>
    <t>Brevo Go Live</t>
  </si>
  <si>
    <t>Google Analytics Go Live</t>
  </si>
  <si>
    <t>Publer Go Live</t>
  </si>
  <si>
    <t>Salesforce Go Live</t>
  </si>
  <si>
    <t>SAP + SAF Go Live</t>
  </si>
  <si>
    <t>GLOBAL GO LIVE!</t>
  </si>
  <si>
    <t>Post-work Plan</t>
  </si>
  <si>
    <t>A detailed plan that resume the original design updated with the concrete realizations of the project.</t>
  </si>
  <si>
    <t>Critics Neutralization</t>
  </si>
  <si>
    <t>Be aware of resistance among the organization and delegate at least two people at the same time to coach people who complains about the software solution.</t>
  </si>
  <si>
    <t>RSV - Regular Verification in Service</t>
  </si>
  <si>
    <t>Being available to answer customer's questions before charging for maintenance.</t>
  </si>
  <si>
    <r>
      <rPr>
        <b/>
        <sz val="11"/>
        <color rgb="FF000000"/>
        <rFont val="Calibri"/>
        <scheme val="minor"/>
      </rPr>
      <t>Elisa, Olivier, Atif, Etienne</t>
    </r>
    <r>
      <rPr>
        <sz val="11"/>
        <color rgb="FF000000"/>
        <rFont val="Calibri"/>
        <scheme val="minor"/>
      </rPr>
      <t>: 
Steering Committee (done)</t>
    </r>
  </si>
  <si>
    <r>
      <rPr>
        <b/>
        <sz val="11"/>
        <color rgb="FF000000"/>
        <rFont val="Calibri"/>
        <scheme val="minor"/>
      </rPr>
      <t>Etienne</t>
    </r>
    <r>
      <rPr>
        <sz val="11"/>
        <color rgb="FF000000"/>
        <rFont val="Calibri"/>
        <scheme val="minor"/>
      </rPr>
      <t xml:space="preserve">: set up Front-end tests
</t>
    </r>
    <r>
      <rPr>
        <b/>
        <sz val="11"/>
        <color rgb="FF000000"/>
        <rFont val="Calibri"/>
        <scheme val="minor"/>
      </rPr>
      <t>Elisa</t>
    </r>
    <r>
      <rPr>
        <sz val="11"/>
        <color rgb="FF000000"/>
        <rFont val="Calibri"/>
        <scheme val="minor"/>
      </rPr>
      <t xml:space="preserve">: set up Back-end tests
</t>
    </r>
    <r>
      <rPr>
        <b/>
        <sz val="11"/>
        <color rgb="FF000000"/>
        <rFont val="Calibri"/>
        <scheme val="minor"/>
      </rPr>
      <t>Olivier</t>
    </r>
    <r>
      <rPr>
        <sz val="11"/>
        <color rgb="FF000000"/>
        <rFont val="Calibri"/>
        <scheme val="minor"/>
      </rPr>
      <t xml:space="preserve">: set up Publer tests
</t>
    </r>
    <r>
      <rPr>
        <b/>
        <sz val="11"/>
        <color rgb="FF000000"/>
        <rFont val="Calibri"/>
        <scheme val="minor"/>
      </rPr>
      <t>Fanta</t>
    </r>
    <r>
      <rPr>
        <sz val="11"/>
        <color rgb="FF000000"/>
        <rFont val="Calibri"/>
        <scheme val="minor"/>
      </rPr>
      <t xml:space="preserve">: Go Live website -&gt; collect pictures with Lotfi + proposal to Alexandre. 
</t>
    </r>
    <r>
      <rPr>
        <b/>
        <sz val="11"/>
        <color rgb="FF000000"/>
        <rFont val="Calibri"/>
        <scheme val="minor"/>
      </rPr>
      <t>Atif</t>
    </r>
    <r>
      <rPr>
        <sz val="11"/>
        <color rgb="FF000000"/>
        <rFont val="Calibri"/>
        <scheme val="minor"/>
      </rPr>
      <t>: Training+End-User guides -&gt; based on successfull UAT instructions</t>
    </r>
  </si>
  <si>
    <r>
      <rPr>
        <b/>
        <sz val="11"/>
        <color rgb="FF000000"/>
        <rFont val="Calibri"/>
        <scheme val="minor"/>
      </rPr>
      <t>Samira</t>
    </r>
    <r>
      <rPr>
        <sz val="11"/>
        <color rgb="FF000000"/>
        <rFont val="Calibri"/>
        <scheme val="minor"/>
      </rPr>
      <t xml:space="preserve">: declare issues on OpenProject
</t>
    </r>
    <r>
      <rPr>
        <b/>
        <sz val="11"/>
        <color rgb="FF000000"/>
        <rFont val="Calibri"/>
        <scheme val="minor"/>
      </rPr>
      <t>Dyhia</t>
    </r>
    <r>
      <rPr>
        <sz val="11"/>
        <color rgb="FF000000"/>
        <rFont val="Calibri"/>
        <scheme val="minor"/>
      </rPr>
      <t xml:space="preserve">: set up Salesforce unit tests
</t>
    </r>
    <r>
      <rPr>
        <b/>
        <sz val="11"/>
        <color rgb="FF000000"/>
        <rFont val="Calibri"/>
        <scheme val="minor"/>
      </rPr>
      <t>Mohamed</t>
    </r>
    <r>
      <rPr>
        <sz val="11"/>
        <color rgb="FF000000"/>
        <rFont val="Calibri"/>
        <scheme val="minor"/>
      </rPr>
      <t xml:space="preserve">: Technical documentation -&gt; update the list of fields used for integration
</t>
    </r>
    <r>
      <rPr>
        <b/>
        <sz val="11"/>
        <color rgb="FF000000"/>
        <rFont val="Calibri"/>
        <scheme val="minor"/>
      </rPr>
      <t>Olivier</t>
    </r>
    <r>
      <rPr>
        <sz val="11"/>
        <color rgb="FF000000"/>
        <rFont val="Calibri"/>
        <scheme val="minor"/>
      </rPr>
      <t>: set up Brevo tests</t>
    </r>
  </si>
  <si>
    <r>
      <rPr>
        <b/>
        <sz val="11"/>
        <color rgb="FF000000"/>
        <rFont val="Calibri"/>
        <scheme val="minor"/>
      </rPr>
      <t xml:space="preserve">Elisa, Etienne, Olivier, Dyhia: </t>
    </r>
    <r>
      <rPr>
        <sz val="11"/>
        <color rgb="FF000000"/>
        <rFont val="Calibri"/>
        <scheme val="minor"/>
      </rPr>
      <t xml:space="preserve">Units UAT* &amp; training
</t>
    </r>
    <r>
      <rPr>
        <b/>
        <sz val="11"/>
        <color rgb="FF000000"/>
        <rFont val="Calibri"/>
        <scheme val="minor"/>
      </rPr>
      <t xml:space="preserve">
Samira</t>
    </r>
    <r>
      <rPr>
        <sz val="11"/>
        <color rgb="FF000000"/>
        <rFont val="Calibri"/>
        <scheme val="minor"/>
      </rPr>
      <t xml:space="preserve">: set up Flow: Create Customer Account
</t>
    </r>
    <r>
      <rPr>
        <b/>
        <sz val="11"/>
        <color rgb="FF000000"/>
        <rFont val="Calibri"/>
        <scheme val="minor"/>
      </rPr>
      <t>Fanta</t>
    </r>
    <r>
      <rPr>
        <sz val="11"/>
        <color rgb="FF000000"/>
        <rFont val="Calibri"/>
        <scheme val="minor"/>
      </rPr>
      <t>: create Price Book in SAF</t>
    </r>
  </si>
  <si>
    <t>WEEK-END</t>
  </si>
  <si>
    <r>
      <rPr>
        <b/>
        <sz val="11"/>
        <color rgb="FF000000"/>
        <rFont val="Calibri"/>
        <scheme val="minor"/>
      </rPr>
      <t>Dyhia:</t>
    </r>
    <r>
      <rPr>
        <sz val="11"/>
        <color rgb="FF000000"/>
        <rFont val="Calibri"/>
        <scheme val="minor"/>
      </rPr>
      <t xml:space="preserve"> integrate Brevo to Woocommerce + DOCUMENTATION
</t>
    </r>
    <r>
      <rPr>
        <b/>
        <sz val="11"/>
        <color rgb="FF000000"/>
        <rFont val="Calibri"/>
        <scheme val="minor"/>
      </rPr>
      <t>Olivier</t>
    </r>
    <r>
      <rPr>
        <sz val="11"/>
        <color rgb="FF000000"/>
        <rFont val="Calibri"/>
        <scheme val="minor"/>
      </rPr>
      <t xml:space="preserve">: integrate Brevo to Salesforce + DOCUMENTATION
Etienne: set up flow: Delete products
</t>
    </r>
    <r>
      <rPr>
        <b/>
        <sz val="11"/>
        <color rgb="FF000000"/>
        <rFont val="Calibri"/>
        <scheme val="minor"/>
      </rPr>
      <t>Samira</t>
    </r>
    <r>
      <rPr>
        <sz val="11"/>
        <color rgb="FF000000"/>
        <rFont val="Calibri"/>
        <scheme val="minor"/>
      </rPr>
      <t>: set up flow: Update Customer Account/Contact</t>
    </r>
  </si>
  <si>
    <r>
      <rPr>
        <b/>
        <sz val="11"/>
        <color rgb="FF000000"/>
        <rFont val="Calibri"/>
      </rPr>
      <t xml:space="preserve">All: </t>
    </r>
    <r>
      <rPr>
        <sz val="11"/>
        <color rgb="FF000000"/>
        <rFont val="Calibri"/>
      </rPr>
      <t xml:space="preserve">fill hours in Open Project
</t>
    </r>
    <r>
      <rPr>
        <b/>
        <sz val="11"/>
        <color rgb="FF000000"/>
        <rFont val="Calibri"/>
      </rPr>
      <t xml:space="preserve">
Etienne</t>
    </r>
    <r>
      <rPr>
        <sz val="11"/>
        <color rgb="FF000000"/>
        <rFont val="Calibri"/>
      </rPr>
      <t xml:space="preserve">: set up flow: Stock-level of products from SAF to WOO
</t>
    </r>
    <r>
      <rPr>
        <b/>
        <sz val="11"/>
        <color rgb="FF000000"/>
        <rFont val="Calibri"/>
      </rPr>
      <t>Dyhia, Olivier:</t>
    </r>
    <r>
      <rPr>
        <sz val="11"/>
        <color rgb="FF000000"/>
        <rFont val="Calibri"/>
      </rPr>
      <t xml:space="preserve"> Integrate Publer to SAF + DOCUMENTATION
</t>
    </r>
    <r>
      <rPr>
        <b/>
        <sz val="11"/>
        <color rgb="FF000000"/>
        <rFont val="Calibri"/>
      </rPr>
      <t>Mohamed</t>
    </r>
    <r>
      <rPr>
        <sz val="11"/>
        <color rgb="FF000000"/>
        <rFont val="Calibri"/>
      </rPr>
      <t>: CUSTOMIZING GUIDE</t>
    </r>
  </si>
  <si>
    <t>SQUASH TEST SETTING</t>
  </si>
  <si>
    <t>Patrick Delannoy</t>
  </si>
  <si>
    <t>UAT INTEGRATION</t>
  </si>
  <si>
    <r>
      <rPr>
        <b/>
        <sz val="11"/>
        <color rgb="FF000000"/>
        <rFont val="Calibri"/>
        <scheme val="minor"/>
      </rPr>
      <t>DEV:</t>
    </r>
    <r>
      <rPr>
        <sz val="11"/>
        <color rgb="FF000000"/>
        <rFont val="Calibri"/>
        <scheme val="minor"/>
      </rPr>
      <t xml:space="preserve"> Connexion Google Analytics to SAF
</t>
    </r>
    <r>
      <rPr>
        <b/>
        <sz val="11"/>
        <color rgb="FF000000"/>
        <rFont val="Calibri"/>
        <scheme val="minor"/>
      </rPr>
      <t>DEV</t>
    </r>
    <r>
      <rPr>
        <sz val="11"/>
        <color rgb="FF000000"/>
        <rFont val="Calibri"/>
        <scheme val="minor"/>
      </rPr>
      <t>: Connexion SAP to SAF</t>
    </r>
  </si>
  <si>
    <t>Afternoon</t>
  </si>
  <si>
    <r>
      <rPr>
        <b/>
        <sz val="11"/>
        <color rgb="FF000000"/>
        <rFont val="Calibri"/>
        <scheme val="minor"/>
      </rPr>
      <t>Elisa, Etienne</t>
    </r>
    <r>
      <rPr>
        <sz val="11"/>
        <color rgb="FF000000"/>
        <rFont val="Calibri"/>
        <scheme val="minor"/>
      </rPr>
      <t>: 
Planification (done)</t>
    </r>
  </si>
  <si>
    <r>
      <rPr>
        <b/>
        <sz val="11"/>
        <color rgb="FF000000"/>
        <rFont val="Calibri"/>
        <scheme val="minor"/>
      </rPr>
      <t>Etienne</t>
    </r>
    <r>
      <rPr>
        <sz val="11"/>
        <color rgb="FF000000"/>
        <rFont val="Calibri"/>
        <scheme val="minor"/>
      </rPr>
      <t>: set up Flow: Create products</t>
    </r>
  </si>
  <si>
    <r>
      <rPr>
        <b/>
        <sz val="11"/>
        <color rgb="FF000000"/>
        <rFont val="Calibri"/>
        <scheme val="minor"/>
      </rPr>
      <t>Etienne</t>
    </r>
    <r>
      <rPr>
        <sz val="11"/>
        <color rgb="FF000000"/>
        <rFont val="Calibri"/>
        <scheme val="minor"/>
      </rPr>
      <t xml:space="preserve">: Go Live Salesforce -&gt; proposal to Alexandre (?new DEV edition?)
</t>
    </r>
    <r>
      <rPr>
        <b/>
        <sz val="11"/>
        <color rgb="FF000000"/>
        <rFont val="Calibri"/>
        <scheme val="minor"/>
      </rPr>
      <t>Mohamed</t>
    </r>
    <r>
      <rPr>
        <sz val="11"/>
        <color rgb="FF000000"/>
        <rFont val="Calibri"/>
        <scheme val="minor"/>
      </rPr>
      <t xml:space="preserve">: Continue technical documentation of integrated fields
</t>
    </r>
    <r>
      <rPr>
        <b/>
        <sz val="11"/>
        <color rgb="FF000000"/>
        <rFont val="Calibri"/>
        <scheme val="minor"/>
      </rPr>
      <t>Dyhia</t>
    </r>
    <r>
      <rPr>
        <sz val="11"/>
        <color rgb="FF000000"/>
        <rFont val="Calibri"/>
        <scheme val="minor"/>
      </rPr>
      <t>: set up flow: Create Order + Mail Notification (to Sales Reps)</t>
    </r>
  </si>
  <si>
    <r>
      <rPr>
        <b/>
        <sz val="11"/>
        <color rgb="FF000000"/>
        <rFont val="Calibri"/>
        <scheme val="minor"/>
      </rPr>
      <t>Etienne</t>
    </r>
    <r>
      <rPr>
        <sz val="11"/>
        <color rgb="FF000000"/>
        <rFont val="Calibri"/>
        <scheme val="minor"/>
      </rPr>
      <t xml:space="preserve">: set up flow: Update products
</t>
    </r>
    <r>
      <rPr>
        <b/>
        <sz val="11"/>
        <color rgb="FF000000"/>
        <rFont val="Calibri"/>
        <scheme val="minor"/>
      </rPr>
      <t>Olivier</t>
    </r>
    <r>
      <rPr>
        <sz val="11"/>
        <color rgb="FF000000"/>
        <rFont val="Calibri"/>
        <scheme val="minor"/>
      </rPr>
      <t xml:space="preserve">: set up flow: Customer Account -&gt; Mail Notification (x3)
</t>
    </r>
    <r>
      <rPr>
        <b/>
        <sz val="11"/>
        <color rgb="FF000000"/>
        <rFont val="Calibri"/>
        <scheme val="minor"/>
      </rPr>
      <t>Mohamed</t>
    </r>
    <r>
      <rPr>
        <sz val="11"/>
        <color rgb="FF000000"/>
        <rFont val="Calibri"/>
        <scheme val="minor"/>
      </rPr>
      <t>: Create a document gathering all accesses of DEV editions accounts (starting CUSTOMIZING GUIDE)</t>
    </r>
  </si>
  <si>
    <r>
      <rPr>
        <b/>
        <sz val="11"/>
        <color rgb="FF000000"/>
        <rFont val="Calibri"/>
        <scheme val="minor"/>
      </rPr>
      <t>Samira</t>
    </r>
    <r>
      <rPr>
        <sz val="11"/>
        <color rgb="FF000000"/>
        <rFont val="Calibri"/>
        <scheme val="minor"/>
      </rPr>
      <t xml:space="preserve">: set up flow: Delete Customer Account/Contact
</t>
    </r>
    <r>
      <rPr>
        <b/>
        <sz val="11"/>
        <color rgb="FF000000"/>
        <rFont val="Calibri"/>
        <scheme val="minor"/>
      </rPr>
      <t>Etienne</t>
    </r>
    <r>
      <rPr>
        <sz val="11"/>
        <color rgb="FF000000"/>
        <rFont val="Calibri"/>
        <scheme val="minor"/>
      </rPr>
      <t xml:space="preserve">: set up flow: Products -&gt; Mail Notification
</t>
    </r>
    <r>
      <rPr>
        <b/>
        <sz val="11"/>
        <color rgb="FF000000"/>
        <rFont val="Calibri"/>
        <scheme val="minor"/>
      </rPr>
      <t>Olivier</t>
    </r>
    <r>
      <rPr>
        <sz val="11"/>
        <color rgb="FF000000"/>
        <rFont val="Calibri"/>
        <scheme val="minor"/>
      </rPr>
      <t>: preparation Go Live Brevo</t>
    </r>
  </si>
  <si>
    <r>
      <rPr>
        <b/>
        <sz val="11"/>
        <color rgb="FF000000"/>
        <rFont val="Calibri"/>
        <scheme val="minor"/>
      </rPr>
      <t>Mailing Automation</t>
    </r>
    <r>
      <rPr>
        <sz val="11"/>
        <color rgb="FF000000"/>
        <rFont val="Calibri"/>
        <scheme val="minor"/>
      </rPr>
      <t xml:space="preserve"> to customer: 
1. Newsletter subscription confirmation
2. Contact message confirmation
3. Account creation confirmation 
4. Order confirmation</t>
    </r>
  </si>
  <si>
    <t>LAST MINUTE ADJUSTMENTS</t>
  </si>
  <si>
    <r>
      <rPr>
        <b/>
        <sz val="11"/>
        <color rgb="FF000000"/>
        <rFont val="Calibri"/>
        <scheme val="minor"/>
      </rPr>
      <t>Go Live</t>
    </r>
    <r>
      <rPr>
        <sz val="11"/>
        <color rgb="FF000000"/>
        <rFont val="Calibri"/>
        <scheme val="minor"/>
      </rPr>
      <t xml:space="preserve">: Website
</t>
    </r>
    <r>
      <rPr>
        <b/>
        <sz val="11"/>
        <color rgb="FF000000"/>
        <rFont val="Calibri"/>
        <scheme val="minor"/>
      </rPr>
      <t>Go Live</t>
    </r>
    <r>
      <rPr>
        <sz val="11"/>
        <color rgb="FF000000"/>
        <rFont val="Calibri"/>
        <scheme val="minor"/>
      </rPr>
      <t xml:space="preserve">: Salesforce
</t>
    </r>
    <r>
      <rPr>
        <b/>
        <sz val="11"/>
        <color rgb="FF000000"/>
        <rFont val="Calibri"/>
        <scheme val="minor"/>
      </rPr>
      <t>Go Live</t>
    </r>
    <r>
      <rPr>
        <sz val="11"/>
        <color rgb="FF000000"/>
        <rFont val="Calibri"/>
        <scheme val="minor"/>
      </rPr>
      <t xml:space="preserve">: Brevo
</t>
    </r>
    <r>
      <rPr>
        <b/>
        <sz val="11"/>
        <color rgb="FF000000"/>
        <rFont val="Calibri"/>
        <scheme val="minor"/>
      </rPr>
      <t>Go Live</t>
    </r>
    <r>
      <rPr>
        <sz val="11"/>
        <color rgb="FF000000"/>
        <rFont val="Calibri"/>
        <scheme val="minor"/>
      </rPr>
      <t>: Publer</t>
    </r>
  </si>
  <si>
    <t>15h30: Axe Committee</t>
  </si>
  <si>
    <t>Notes</t>
  </si>
  <si>
    <r>
      <rPr>
        <b/>
        <sz val="11"/>
        <color rgb="FF000000"/>
        <rFont val="Calibri"/>
        <scheme val="minor"/>
      </rPr>
      <t>Olivier</t>
    </r>
    <r>
      <rPr>
        <sz val="11"/>
        <color rgb="FF000000"/>
        <rFont val="Calibri"/>
        <scheme val="minor"/>
      </rPr>
      <t xml:space="preserve">: Creates Mail notification when Account creation in WooCommerce: send mail to customer and Sales Rep.
</t>
    </r>
    <r>
      <rPr>
        <b/>
        <sz val="11"/>
        <color rgb="FF000000"/>
        <rFont val="Calibri"/>
        <scheme val="minor"/>
      </rPr>
      <t>Etienne</t>
    </r>
    <r>
      <rPr>
        <sz val="11"/>
        <color rgb="FF000000"/>
        <rFont val="Calibri"/>
        <scheme val="minor"/>
      </rPr>
      <t xml:space="preserve">: Convention naming PwrAut flows. 
/!\ Issue: Salesforce does not collect all Lead data.  
/!\ Issue: How to use "Get Record" to send a confirmation email after collecting Lead data on website form?
</t>
    </r>
    <r>
      <rPr>
        <b/>
        <sz val="11"/>
        <color rgb="FF000000"/>
        <rFont val="Calibri"/>
        <scheme val="minor"/>
      </rPr>
      <t>Elisa</t>
    </r>
    <r>
      <rPr>
        <sz val="11"/>
        <color rgb="FF000000"/>
        <rFont val="Calibri"/>
        <scheme val="minor"/>
      </rPr>
      <t xml:space="preserve">: Coordination
Documentary </t>
    </r>
  </si>
  <si>
    <r>
      <rPr>
        <b/>
        <sz val="11"/>
        <color rgb="FF000000"/>
        <rFont val="Calibri"/>
        <scheme val="minor"/>
      </rPr>
      <t xml:space="preserve">Olivier </t>
    </r>
    <r>
      <rPr>
        <sz val="11"/>
        <color rgb="FF000000"/>
        <rFont val="Calibri"/>
        <scheme val="minor"/>
      </rPr>
      <t xml:space="preserve">: Creation test pour Brevo. Difficultées pour Pubbler car l'utilisation de l'adresse mail similaire à Brevo ne fonctionne pas. --&gt; Pas de test pour Pubbler </t>
    </r>
    <r>
      <rPr>
        <b/>
        <sz val="11"/>
        <color rgb="FF000000"/>
        <rFont val="Calibri"/>
        <scheme val="minor"/>
      </rPr>
      <t>Elisa :</t>
    </r>
    <r>
      <rPr>
        <sz val="11"/>
        <color rgb="FF000000"/>
        <rFont val="Calibri"/>
        <scheme val="minor"/>
      </rPr>
      <t xml:space="preserve"> Point sur la gestion documentaire avec Yoann + mail equipe</t>
    </r>
  </si>
  <si>
    <r>
      <rPr>
        <sz val="11"/>
        <color rgb="FF000000"/>
        <rFont val="Calibri"/>
      </rPr>
      <t xml:space="preserve">Training </t>
    </r>
    <r>
      <rPr>
        <b/>
        <sz val="11"/>
        <color rgb="FF000000"/>
        <rFont val="Calibri"/>
      </rPr>
      <t>Etienne</t>
    </r>
    <r>
      <rPr>
        <sz val="11"/>
        <color rgb="FF000000"/>
        <rFont val="Calibri"/>
      </rPr>
      <t xml:space="preserve">: Test BREVO et FRONT END fait avec Sophia   </t>
    </r>
    <r>
      <rPr>
        <b/>
        <sz val="11"/>
        <color rgb="FF000000"/>
        <rFont val="Calibri"/>
      </rPr>
      <t xml:space="preserve">Elisa </t>
    </r>
    <r>
      <rPr>
        <sz val="11"/>
        <color rgb="FF000000"/>
        <rFont val="Calibri"/>
      </rPr>
      <t>: bloquée sur test back end suivants : gestion des prix par rapport catégorie clien; affichage panier moyen et affichage taux abandon panier mais ok pour prix degressif en fonction qté ; affichage nombre de commande par client ; affiche numero commande par client</t>
    </r>
  </si>
  <si>
    <t>3. Account creation confirmation =&gt; (ok)</t>
  </si>
  <si>
    <r>
      <rPr>
        <b/>
        <sz val="11"/>
        <color rgb="FF000000"/>
        <rFont val="Calibri"/>
        <scheme val="minor"/>
      </rPr>
      <t xml:space="preserve">Etienne: Products Flows: 
</t>
    </r>
    <r>
      <rPr>
        <sz val="11"/>
        <color rgb="FF000000"/>
        <rFont val="Calibri"/>
        <scheme val="minor"/>
      </rPr>
      <t xml:space="preserve">1. Create Woo product -&gt; Saf product + Price Book Entry (ok)
2. Update Woo product -&gt; Saf product + Price Book Entry (ok)
3. Delete Woo product -&gt; Saf product + Price Book Entry (ok)
</t>
    </r>
    <r>
      <rPr>
        <b/>
        <sz val="11"/>
        <color rgb="FF000000"/>
        <rFont val="Calibri"/>
        <scheme val="minor"/>
      </rPr>
      <t xml:space="preserve">Samira: Customer Flows:
</t>
    </r>
    <r>
      <rPr>
        <sz val="11"/>
        <color rgb="FF000000"/>
        <rFont val="Calibri"/>
        <scheme val="minor"/>
      </rPr>
      <t xml:space="preserve">1. Create (ok)
2. Update (ok)
3. Delete (ok)
</t>
    </r>
    <r>
      <rPr>
        <b/>
        <sz val="11"/>
        <color rgb="FF000000"/>
        <rFont val="Calibri"/>
        <scheme val="minor"/>
      </rPr>
      <t xml:space="preserve">Samira, Fanta, Mohamed: Order Flows: 
</t>
    </r>
    <r>
      <rPr>
        <sz val="11"/>
        <color rgb="FF000000"/>
        <rFont val="Calibri"/>
        <scheme val="minor"/>
      </rPr>
      <t xml:space="preserve">1. Create (ok) 
</t>
    </r>
    <r>
      <rPr>
        <b/>
        <sz val="11"/>
        <color rgb="FF000000"/>
        <rFont val="Calibri"/>
        <scheme val="minor"/>
      </rPr>
      <t xml:space="preserve">Olivier: </t>
    </r>
    <r>
      <rPr>
        <sz val="11"/>
        <color rgb="FF000000"/>
        <rFont val="Calibri"/>
        <scheme val="minor"/>
      </rPr>
      <t xml:space="preserve">validation training guide Salesforce
</t>
    </r>
    <r>
      <rPr>
        <b/>
        <sz val="11"/>
        <color rgb="FF000000"/>
        <rFont val="Calibri"/>
        <scheme val="minor"/>
      </rPr>
      <t>Olivier et Dyhia:</t>
    </r>
    <r>
      <rPr>
        <sz val="11"/>
        <color rgb="FF000000"/>
        <rFont val="Calibri"/>
        <scheme val="minor"/>
      </rPr>
      <t xml:space="preserve"> Customizing guide BREVO
</t>
    </r>
    <r>
      <rPr>
        <b/>
        <sz val="11"/>
        <color rgb="FF000000"/>
        <rFont val="Calibri"/>
        <scheme val="minor"/>
      </rPr>
      <t xml:space="preserve">Samira et Fanta : </t>
    </r>
    <r>
      <rPr>
        <sz val="11"/>
        <color rgb="FF000000"/>
        <rFont val="Calibri"/>
        <scheme val="minor"/>
      </rPr>
      <t xml:space="preserve">Point avec Yohann gestion docs. désicion suite au point : Transférer la nouvelle convention de nommage à l’équipe . 
</t>
    </r>
    <r>
      <rPr>
        <b/>
        <sz val="11"/>
        <color rgb="FF000000"/>
        <rFont val="Calibri"/>
        <scheme val="minor"/>
      </rPr>
      <t>Elisa :</t>
    </r>
    <r>
      <rPr>
        <sz val="11"/>
        <color rgb="FF000000"/>
        <rFont val="Calibri"/>
        <scheme val="minor"/>
      </rPr>
      <t xml:space="preserve"> mail de relance pour comité de décision et bilan de projet. Partage des tâches (KANBAN), point avec les differentes personnes</t>
    </r>
  </si>
  <si>
    <t>Etienne et Elisa : préparation comité de décision
Elisa : Mail pour rappel saisie heures
Elisa : mail Elisabeth pour info planif UAT 
Elisa : planification cours Amos gestion mots de passe
Elisa : réponse Elisabeth qui sera là aux UAT et comité decision</t>
  </si>
  <si>
    <t xml:space="preserve">Etienne et Elisa : UAT avec Sophia et Elisabeth  Axe comitee : mise en production non accepté. il faut faire les modifs pour une prise de decision mercredi 6  </t>
  </si>
  <si>
    <t>TEAM : reunion bilan projet  Elisa: point autonomie sur ptn abordés en axe comitee. modif powerpoint (3 colonnes UAT)</t>
  </si>
  <si>
    <t>*Units UAT : testing each software independently</t>
  </si>
  <si>
    <t>SIGMA 360 PROJECT - Working time tracking</t>
  </si>
  <si>
    <t>Date</t>
  </si>
  <si>
    <t>Task</t>
  </si>
  <si>
    <t>Hours</t>
  </si>
  <si>
    <t>Monday 21 August</t>
  </si>
  <si>
    <t>Tuesday 22 August</t>
  </si>
  <si>
    <t>Wednesday 23 August</t>
  </si>
  <si>
    <t>Thursday 24 August</t>
  </si>
  <si>
    <t>Friday 25 August</t>
  </si>
  <si>
    <t>Monday 28 August</t>
  </si>
  <si>
    <t>Project Planification</t>
  </si>
  <si>
    <t>Tuesday 29 August</t>
  </si>
  <si>
    <t>Thursday 31 August</t>
  </si>
  <si>
    <t>Reception of needs</t>
  </si>
  <si>
    <t>Abs</t>
  </si>
  <si>
    <t>Requirements review</t>
  </si>
  <si>
    <t>Comitology</t>
  </si>
  <si>
    <t>Organisation chart</t>
  </si>
  <si>
    <t>Friday 1 September</t>
  </si>
  <si>
    <t>Restricted Comitee</t>
  </si>
  <si>
    <t>ABS</t>
  </si>
  <si>
    <t>Wednesday 6 September</t>
  </si>
  <si>
    <t>Landscape definition</t>
  </si>
  <si>
    <t>Macro-planning design</t>
  </si>
  <si>
    <t>Naming convention</t>
  </si>
  <si>
    <t>Naming Convention</t>
  </si>
  <si>
    <t>Big Case Estimation (Budget)</t>
  </si>
  <si>
    <t>Thursday 7 September</t>
  </si>
  <si>
    <t xml:space="preserve">Salesforce technique </t>
  </si>
  <si>
    <t>Friday 8 September</t>
  </si>
  <si>
    <t>Scoping workshop</t>
  </si>
  <si>
    <t>Monday 11 September</t>
  </si>
  <si>
    <t>Planification: Gantt Diagram/Open Project</t>
  </si>
  <si>
    <t>Web design</t>
  </si>
  <si>
    <t>Tuesday 12 September</t>
  </si>
  <si>
    <t>Planification: Time tracking</t>
  </si>
  <si>
    <t>Wednesday 13 September</t>
  </si>
  <si>
    <t>Planification: Costs Control</t>
  </si>
  <si>
    <t>WebSite</t>
  </si>
  <si>
    <t>Web Design</t>
  </si>
  <si>
    <t>Thursday 14 September</t>
  </si>
  <si>
    <t>Friday 15 September</t>
  </si>
  <si>
    <t>Team meeting</t>
  </si>
  <si>
    <t>ROI</t>
  </si>
  <si>
    <t>Monday 18 September</t>
  </si>
  <si>
    <t>ROI page layout</t>
  </si>
  <si>
    <t>Steering Committee organization</t>
  </si>
  <si>
    <t>ROI estimation</t>
  </si>
  <si>
    <t>ROI translation</t>
  </si>
  <si>
    <t>Requirements review page layout</t>
  </si>
  <si>
    <t>Tuesday 19 September</t>
  </si>
  <si>
    <t>Webdesign</t>
  </si>
  <si>
    <t>Proofeading "review requirements"</t>
  </si>
  <si>
    <t>Steering Committee preparation</t>
  </si>
  <si>
    <t>Wednesday 20 Sept</t>
  </si>
  <si>
    <t>Organisation</t>
  </si>
  <si>
    <t>Thursday 21 Sept</t>
  </si>
  <si>
    <t>Planning</t>
  </si>
  <si>
    <t>Feasibility study</t>
  </si>
  <si>
    <t>BP definition</t>
  </si>
  <si>
    <t>BP Definition</t>
  </si>
  <si>
    <t>Feasability study</t>
  </si>
  <si>
    <t>Planification</t>
  </si>
  <si>
    <t>Friday 22 Sept</t>
  </si>
  <si>
    <t>3,5</t>
  </si>
  <si>
    <t>Macro-planning</t>
  </si>
  <si>
    <t>Tuesday 26 Sept</t>
  </si>
  <si>
    <t>0,5</t>
  </si>
  <si>
    <t>Wednesday 27 Sept</t>
  </si>
  <si>
    <t>Coordination</t>
  </si>
  <si>
    <t>6,5</t>
  </si>
  <si>
    <t>Thursday 28 Sept</t>
  </si>
  <si>
    <t>Friday 29 Sept</t>
  </si>
  <si>
    <t>Wednesday 4 Oct</t>
  </si>
  <si>
    <t>Product Maquette</t>
  </si>
  <si>
    <t>Tuesday 5 Oct</t>
  </si>
  <si>
    <t>Friday 6 Oct</t>
  </si>
  <si>
    <t>Monday 9 Oct</t>
  </si>
  <si>
    <t>Website Design</t>
  </si>
  <si>
    <t>Tuesday 10 Oct</t>
  </si>
  <si>
    <t>Website Mock-Up</t>
  </si>
  <si>
    <t>Wednesday 11 Oct</t>
  </si>
  <si>
    <t>BP Design</t>
  </si>
  <si>
    <t>Thursday 12 Oct</t>
  </si>
  <si>
    <t>Friday 13 Oct</t>
  </si>
  <si>
    <t>BP Design Connexion SAP SAF</t>
  </si>
  <si>
    <t>Monday 16 Oct</t>
  </si>
  <si>
    <t>MCD</t>
  </si>
  <si>
    <t>Tuesday 17 Oct</t>
  </si>
  <si>
    <t>BP design</t>
  </si>
  <si>
    <t>SI mapping</t>
  </si>
  <si>
    <t>Thursday 19 Oct</t>
  </si>
  <si>
    <t>Planification: Pl. &amp; Costs Control</t>
  </si>
  <si>
    <t>Friday 20 Oct</t>
  </si>
  <si>
    <t>Copil</t>
  </si>
  <si>
    <t>Tuesday 24 Oct</t>
  </si>
  <si>
    <t>IS Architecture</t>
  </si>
  <si>
    <t>Wednesday 25 Oct</t>
  </si>
  <si>
    <t>Monday 30 Oct</t>
  </si>
  <si>
    <t>Salesforce Setting</t>
  </si>
  <si>
    <t>Tuesday 31 Oct</t>
  </si>
  <si>
    <t>Thursday 02 Nov</t>
  </si>
  <si>
    <t>Website design</t>
  </si>
  <si>
    <t>Friday 03 Nov</t>
  </si>
  <si>
    <t>Sunday 05 Nov</t>
  </si>
  <si>
    <t>Monday 06 Nov</t>
  </si>
  <si>
    <t>Pre-Steering Committee</t>
  </si>
  <si>
    <t>Tuesday 07 Nov</t>
  </si>
  <si>
    <t>Wednesday 08 Nov</t>
  </si>
  <si>
    <t>Thursday 09 Nov</t>
  </si>
  <si>
    <t>Friday 10 Nov</t>
  </si>
  <si>
    <t>Monday 13 Nov</t>
  </si>
  <si>
    <t>Tuesday 14 Nov</t>
  </si>
  <si>
    <t>Integration</t>
  </si>
  <si>
    <t xml:space="preserve">Wednesday 15 Nov </t>
  </si>
  <si>
    <t>Thursday 16 Nov</t>
  </si>
  <si>
    <t>Tuesday 21 Nov</t>
  </si>
  <si>
    <t>Steering Committee</t>
  </si>
  <si>
    <t>Thirsday 23 Nov</t>
  </si>
  <si>
    <t>Tuesday 28 Nov</t>
  </si>
  <si>
    <t>Wednseday 29 Nov</t>
  </si>
  <si>
    <t>Monday 04 Dec</t>
  </si>
  <si>
    <t>Axe Committee</t>
  </si>
  <si>
    <t>Tuesday 05 Dec</t>
  </si>
  <si>
    <t>Documentation
Project Completion Review</t>
  </si>
  <si>
    <t>Wednesday 06 Dec</t>
  </si>
  <si>
    <t>Thursay 07 Dec</t>
  </si>
  <si>
    <t>Documentation UAT</t>
  </si>
  <si>
    <t>Total worked hours</t>
  </si>
  <si>
    <t>Total Cost</t>
  </si>
  <si>
    <t>Hourly patronal cost of a consultant</t>
  </si>
  <si>
    <t>| week | Activity                                             | Estimated Duration |</t>
  </si>
  <si>
    <t>|---------|---------------------------------------------------------|---------------|</t>
  </si>
  <si>
    <t>| 1       |Reception of needs / workshop                         | 1-2 weeks  |</t>
  </si>
  <si>
    <t>| 1       | Landscape presentation                                 | 1 week     |</t>
  </si>
  <si>
    <t>| 2       | Scoping                                       | 2 weeks    |</t>
  </si>
  <si>
    <t>| 3       | Requirements review               | 2-3 weeks  |</t>
  </si>
  <si>
    <t>| 4       | Risk Analysis/Assessment                              | 1 week     |</t>
  </si>
  <si>
    <t>| 4       | Cahier des charges/Blueprint                          | 3-4 weeks  |</t>
  </si>
  <si>
    <t>| 5       | Business Processes Definition                        | 2-3 weeks  |</t>
  </si>
  <si>
    <t>| 5       | Big Case Study                                  | 1 week     |</t>
  </si>
  <si>
    <t>| 6       |  feasability study =&gt; Go, No go                       | 1 week     |</t>
  </si>
  <si>
    <t>| 6       | Commercial proposition                                | 2 weeks    |</t>
  </si>
  <si>
    <t>| 7       | List of deliverables creation                        | 1 week     |</t>
  </si>
  <si>
    <t>| 7       | Organization chart                                    | 1 week     |</t>
  </si>
  <si>
    <t>| 8       | MCD creation                                          | 2 weeks    |</t>
  </si>
  <si>
    <t>| 8       | Business Processes Design                            | 3-4 weeks  |</t>
  </si>
  <si>
    <t>| 9       | Authorizations matrix                                | 1-2 weeks  |</t>
  </si>
  <si>
    <t>| 10      | Documentary Naming Convention                        | 1 week     |</t>
  </si>
  <si>
    <t>| 10      | Schedule management                                  | In progress     |</t>
  </si>
  <si>
    <t>| 11      | Sales funnel creation                                | 2-3 weeks  |</t>
  </si>
  <si>
    <t>| 12      | List product catalogue                               | 2 weeks    |</t>
  </si>
  <si>
    <t>| 12      | Website creation                                     | 4-6 weeks  |</t>
  </si>
  <si>
    <t>| 13      | Data migration Hubspot                               | 3-4 weeks  |</t>
  </si>
  <si>
    <t>| 13      | Implementation SAF =&gt; SAP                            | 4-6 weeks  |</t>
  </si>
  <si>
    <t>| 14      | Prototyping                                          | 2-3 weeks  |</t>
  </si>
  <si>
    <t>| 14      | Unit Testing                                         | In Progress|</t>
  </si>
  <si>
    <t>| 14      | Performance Testing                                  | 2-3 weeks  |</t>
  </si>
  <si>
    <t>| 14      | Usability Testing                                    | 1-2 weeks  |</t>
  </si>
  <si>
    <t>| 14      | Integration Testing                                  | In progress     |</t>
  </si>
  <si>
    <t>| 14      | END USERS GUIDE                                      | 2-3 weeks  |</t>
  </si>
  <si>
    <t>| 14      | UAT                                                 | Variable      |</t>
  </si>
  <si>
    <t>| 14      | Payment                                             | Variable      |</t>
  </si>
  <si>
    <t>| 14      | GO LIVE!                                            | 1 day    |</t>
  </si>
  <si>
    <t>| 14      | Training guide                                       | 2 weeks    |</t>
  </si>
  <si>
    <t>| 14      | Training                                            | 2-3 weeks  |</t>
  </si>
  <si>
    <t>| 14      | Critics Neutralization                               | In progess   |</t>
  </si>
  <si>
    <t>Regular verification in service</t>
  </si>
  <si>
    <t>Organigram ALPHA CRM</t>
  </si>
  <si>
    <t>ORGANIGRAM CRM 1 V1.pptx</t>
  </si>
  <si>
    <t>Roles</t>
  </si>
  <si>
    <t>Managers</t>
  </si>
  <si>
    <t>GED</t>
  </si>
  <si>
    <t>"Gestion Electronique des Documents"</t>
  </si>
  <si>
    <t>Fanta, Samira</t>
  </si>
  <si>
    <t>PM/PMO</t>
  </si>
  <si>
    <t>"Project Manager (Officer)"</t>
  </si>
  <si>
    <t>Etienne, Samira, Elisa</t>
  </si>
  <si>
    <t>(11 sept, 11 oct, 11 nov)</t>
  </si>
  <si>
    <t>IQ</t>
  </si>
  <si>
    <t>"Ingénieur.e Qualité"</t>
  </si>
  <si>
    <t>IT</t>
  </si>
  <si>
    <t>"Ingénieur.e Technique"</t>
  </si>
  <si>
    <t>Mohamed MOHAMO, Olivier</t>
  </si>
  <si>
    <t>PCC</t>
  </si>
  <si>
    <t>"Planner &amp; Cost Controller"</t>
  </si>
  <si>
    <t>CM</t>
  </si>
  <si>
    <t>"Contract Manager"</t>
  </si>
  <si>
    <t>DC</t>
  </si>
  <si>
    <t>"Directrice Commerciale"</t>
  </si>
  <si>
    <t>Elizabeth</t>
  </si>
  <si>
    <t xml:space="preserve"> </t>
  </si>
  <si>
    <t>Major tasks</t>
  </si>
  <si>
    <t>Website creation - ecommerce (creation of product pages)</t>
  </si>
  <si>
    <t>Website connexion to the CRM Salesforce</t>
  </si>
  <si>
    <t>Data migration from Hubspot et Dolibarr to Salesforce</t>
  </si>
  <si>
    <t>Integration between Salesforce and SAP</t>
  </si>
  <si>
    <t>Marketing Automation (Newsletter)</t>
  </si>
  <si>
    <t>President</t>
  </si>
  <si>
    <t>José Gaultier</t>
  </si>
  <si>
    <t>Vice President
Chief Financial Officer</t>
  </si>
  <si>
    <t>Alexandre Gain
Gilles Sauvageon</t>
  </si>
  <si>
    <t>Direction (5?)</t>
  </si>
  <si>
    <t>Philippe Bassot (Program Manager and Director Ekovya Consulting)</t>
  </si>
  <si>
    <t>Elizabeth Golovanov (Sales and Marketing and Director Ekovya Solutions)</t>
  </si>
  <si>
    <t>Lotfi Rebiai (Expert Marketing Digital and Business Intelligence)</t>
  </si>
  <si>
    <t>Alain Claude (Expert Salesforce)</t>
  </si>
  <si>
    <t>Nancy Guenat (Responsable Communication)</t>
  </si>
  <si>
    <t>Pierre Dauvergne (Externe Communication Consultant)</t>
  </si>
  <si>
    <t>For SAP: Lionel Rinaldi (External Consultant Spec. Project Management)</t>
  </si>
  <si>
    <t>https://wiki.ekovya.com/books/sigma360-salesforce-crm1-2023/page/diagramme-ishikawa</t>
  </si>
  <si>
    <t>Steering Comitees CRM Alpha 2023</t>
  </si>
  <si>
    <t>Presentation</t>
  </si>
  <si>
    <t>Number of  Consultants</t>
  </si>
  <si>
    <t>Who?</t>
  </si>
  <si>
    <t>Convocations</t>
  </si>
  <si>
    <t>Agenda (Order of the day)</t>
  </si>
  <si>
    <t>ANNULER</t>
  </si>
  <si>
    <t>September - Pre Steering Committee</t>
  </si>
  <si>
    <t>Project discussion</t>
  </si>
  <si>
    <t>Everyone</t>
  </si>
  <si>
    <t>X</t>
  </si>
  <si>
    <t>Requirements review and presentation of deliveries' creation progress.</t>
  </si>
  <si>
    <t>September</t>
  </si>
  <si>
    <r>
      <rPr>
        <sz val="11"/>
        <color rgb="FF000000"/>
        <rFont val="Calibri"/>
        <scheme val="minor"/>
      </rPr>
      <t>21/09/2023 !new date! -</t>
    </r>
    <r>
      <rPr>
        <b/>
        <sz val="11"/>
        <color rgb="FF000000"/>
        <rFont val="Calibri"/>
        <scheme val="minor"/>
      </rPr>
      <t>20/09/2023-</t>
    </r>
  </si>
  <si>
    <t>Presentation By Etienne, Fanta, Atif</t>
  </si>
  <si>
    <t>To be sent</t>
  </si>
  <si>
    <t xml:space="preserve">List of deliverables, ROI, Requirements Review, Risk Matrix (ask about factorization of criticity) </t>
  </si>
  <si>
    <t>September
Director Board</t>
  </si>
  <si>
    <t>27/09/2023</t>
  </si>
  <si>
    <t>?</t>
  </si>
  <si>
    <t>Alexandre and a team of new people just arriving.</t>
  </si>
  <si>
    <t>Discussing HR costs to refine budget calculation.</t>
  </si>
  <si>
    <t>October - Pre-Steering Committee</t>
  </si>
  <si>
    <t>With Gilles and Alexandre. 1h30. Starting at 9h15</t>
  </si>
  <si>
    <t>1. PARCOURS CLIENT
2. MAQUETTE SITE
3. MAQUETTE PRODUIT     4.VERIFIER LES HEURES&amp;TICKETS SUR OPEN PROJECT</t>
  </si>
  <si>
    <t>October 
Steering Committee</t>
  </si>
  <si>
    <t xml:space="preserve"> ARCHITECTURE Mapping BP
INTEGRATION SAP-SAF (VISUAL) - CURRENCY COORDINATION WITH  SAP (CHANGE RATE) 
Websites must be ready to go online</t>
  </si>
  <si>
    <t>October
Director Board</t>
  </si>
  <si>
    <t>Samira, Elisa, Etienne</t>
  </si>
  <si>
    <t>PMOs</t>
  </si>
  <si>
    <t>UAT start</t>
  </si>
  <si>
    <t>Intermediate UAT</t>
  </si>
  <si>
    <t>Steering Comitee</t>
  </si>
  <si>
    <t>9h30</t>
  </si>
  <si>
    <t>Unit Test terminated 
Salesforce part Ready</t>
  </si>
  <si>
    <t>Director Board</t>
  </si>
  <si>
    <t>?9h30?</t>
  </si>
  <si>
    <t>Postpone</t>
  </si>
  <si>
    <t>GO LIVE</t>
  </si>
  <si>
    <t>Axe commitee</t>
  </si>
  <si>
    <t xml:space="preserve">Production ? </t>
  </si>
  <si>
    <t xml:space="preserve">Team </t>
  </si>
  <si>
    <t>In progress</t>
  </si>
  <si>
    <t>Postpone 06/12/2023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</si>
</sst>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quot;€&quot;;[Red]\-#,##0.00\ &quot;€&quot;"/>
    <numFmt numFmtId="165" formatCode="dd/mm/yy;@"/>
    <numFmt numFmtId="166" formatCode="mm/dd/yy;@"/>
    <numFmt numFmtId="167" formatCode="[$-F800]dddd\,\ mmmm\ dd\,\ yyyy"/>
  </numFmts>
  <fonts count="62">
    <font>
      <sz val="11"/>
      <color theme="1"/>
      <name val="Calibri"/>
      <family val="2"/>
      <scheme val="minor"/>
    </font>
    <font>
      <sz val="11"/>
      <color theme="1"/>
      <name val="Calibri"/>
      <scheme val="minor"/>
    </font>
    <font>
      <b/>
      <sz val="11"/>
      <color theme="1"/>
      <name val="Calibri"/>
      <scheme val="minor"/>
    </font>
    <font>
      <u/>
      <sz val="11"/>
      <color theme="10"/>
      <name val="Calibri"/>
      <family val="2"/>
      <scheme val="minor"/>
    </font>
    <font>
      <b/>
      <sz val="11"/>
      <color theme="1"/>
      <name val="Calibri"/>
      <family val="2"/>
      <scheme val="minor"/>
    </font>
    <font>
      <b/>
      <sz val="11"/>
      <color rgb="FF000000"/>
      <name val="Calibri"/>
      <scheme val="minor"/>
    </font>
    <font>
      <sz val="10"/>
      <color rgb="FF000000"/>
      <name val="Calibri"/>
      <scheme val="minor"/>
    </font>
    <font>
      <sz val="11"/>
      <color rgb="FF000000"/>
      <name val="Calibri"/>
      <scheme val="minor"/>
    </font>
    <font>
      <sz val="24"/>
      <color rgb="FF273691"/>
      <name val="Calibri"/>
      <scheme val="minor"/>
    </font>
    <font>
      <u/>
      <sz val="11"/>
      <color theme="10"/>
      <name val="Calibri"/>
      <scheme val="minor"/>
    </font>
    <font>
      <sz val="11"/>
      <color theme="4" tint="-0.249977111117893"/>
      <name val="Calibri"/>
      <scheme val="minor"/>
    </font>
    <font>
      <b/>
      <sz val="11"/>
      <color theme="1" tint="4.9989318521683403E-2"/>
      <name val="Calibri"/>
      <scheme val="minor"/>
    </font>
    <font>
      <sz val="11"/>
      <color rgb="FF000000"/>
      <name val="Calibri"/>
      <family val="2"/>
      <scheme val="minor"/>
    </font>
    <font>
      <b/>
      <sz val="11"/>
      <color rgb="FF000000"/>
      <name val="Calibri"/>
      <family val="2"/>
      <scheme val="minor"/>
    </font>
    <font>
      <sz val="11"/>
      <color rgb="FF000000"/>
      <name val="Calibri"/>
    </font>
    <font>
      <sz val="14"/>
      <color theme="1"/>
      <name val="Calibri"/>
      <family val="2"/>
      <scheme val="minor"/>
    </font>
    <font>
      <sz val="12"/>
      <color theme="1"/>
      <name val="Calibri"/>
      <scheme val="minor"/>
    </font>
    <font>
      <sz val="12"/>
      <color rgb="FF000000"/>
      <name val="Calibri"/>
      <scheme val="minor"/>
    </font>
    <font>
      <sz val="11"/>
      <color rgb="FFFF0000"/>
      <name val="Calibri"/>
      <scheme val="minor"/>
    </font>
    <font>
      <b/>
      <sz val="11"/>
      <color rgb="FF000000"/>
      <name val="Calibri"/>
    </font>
    <font>
      <sz val="11"/>
      <color rgb="FFFF0000"/>
      <name val="Calibri"/>
      <family val="2"/>
      <scheme val="minor"/>
    </font>
    <font>
      <sz val="11"/>
      <color rgb="FF000000"/>
      <name val="Calibri"/>
      <charset val="1"/>
    </font>
    <font>
      <sz val="24"/>
      <color theme="1"/>
      <name val="Calibri"/>
      <family val="2"/>
      <scheme val="minor"/>
    </font>
    <font>
      <sz val="24"/>
      <color theme="4" tint="-0.249977111117893"/>
      <name val="Calibri"/>
      <family val="2"/>
      <scheme val="minor"/>
    </font>
    <font>
      <b/>
      <sz val="11"/>
      <color rgb="FFFF0000"/>
      <name val="Calibri"/>
      <family val="2"/>
      <scheme val="minor"/>
    </font>
    <font>
      <b/>
      <sz val="11"/>
      <color rgb="FFFF0000"/>
      <name val="Calibri"/>
      <scheme val="minor"/>
    </font>
    <font>
      <b/>
      <sz val="36"/>
      <color rgb="FF273691"/>
      <name val="Calibri"/>
      <scheme val="minor"/>
    </font>
    <font>
      <b/>
      <sz val="18"/>
      <color theme="1"/>
      <name val="Calibri"/>
      <family val="2"/>
      <scheme val="minor"/>
    </font>
    <font>
      <sz val="11"/>
      <color rgb="FF444444"/>
      <name val="Calibri"/>
      <family val="2"/>
      <charset val="1"/>
    </font>
    <font>
      <b/>
      <sz val="14"/>
      <color rgb="FF444444"/>
      <name val="Calibri"/>
      <family val="2"/>
      <charset val="1"/>
    </font>
    <font>
      <b/>
      <i/>
      <sz val="11"/>
      <color rgb="FF000000"/>
      <name val="Calibri"/>
    </font>
    <font>
      <b/>
      <sz val="12"/>
      <color rgb="FF000000"/>
      <name val="Calibri"/>
      <scheme val="minor"/>
    </font>
    <font>
      <b/>
      <sz val="16"/>
      <color theme="1"/>
      <name val="Calibri"/>
      <family val="2"/>
      <scheme val="minor"/>
    </font>
    <font>
      <b/>
      <u/>
      <sz val="16"/>
      <color theme="10"/>
      <name val="Calibri"/>
      <family val="2"/>
      <scheme val="minor"/>
    </font>
    <font>
      <b/>
      <sz val="14"/>
      <color theme="1"/>
      <name val="Calibri"/>
      <family val="2"/>
      <scheme val="minor"/>
    </font>
    <font>
      <sz val="14"/>
      <color rgb="FF000000"/>
      <name val="Calibri"/>
      <scheme val="minor"/>
    </font>
    <font>
      <b/>
      <sz val="11"/>
      <color theme="0"/>
      <name val="Calibri"/>
      <family val="2"/>
      <scheme val="minor"/>
    </font>
    <font>
      <sz val="11"/>
      <color rgb="FF444444"/>
      <name val="Calibri"/>
      <charset val="1"/>
    </font>
    <font>
      <b/>
      <sz val="36"/>
      <color rgb="FF000000"/>
      <name val="Calibri"/>
      <scheme val="minor"/>
    </font>
    <font>
      <b/>
      <sz val="24"/>
      <color rgb="FF273691"/>
      <name val="Calibri"/>
      <scheme val="minor"/>
    </font>
    <font>
      <b/>
      <sz val="11"/>
      <color rgb="FF444444"/>
      <name val="Calibri"/>
      <charset val="1"/>
    </font>
    <font>
      <b/>
      <sz val="11"/>
      <color rgb="FF000000"/>
      <name val="Calibri"/>
      <charset val="1"/>
    </font>
    <font>
      <sz val="11"/>
      <color theme="1" tint="4.9989318521683403E-2"/>
      <name val="Calibri"/>
      <scheme val="minor"/>
    </font>
    <font>
      <u/>
      <sz val="12"/>
      <color theme="10"/>
      <name val="Calibri"/>
      <family val="2"/>
      <scheme val="minor"/>
    </font>
    <font>
      <b/>
      <i/>
      <sz val="11"/>
      <color theme="1"/>
      <name val="Calibri"/>
      <family val="2"/>
      <scheme val="minor"/>
    </font>
    <font>
      <i/>
      <sz val="11"/>
      <color theme="1"/>
      <name val="Calibri"/>
      <family val="2"/>
      <scheme val="minor"/>
    </font>
    <font>
      <sz val="12"/>
      <color rgb="FF000000"/>
      <name val="Calibri"/>
      <charset val="1"/>
    </font>
    <font>
      <sz val="12"/>
      <color rgb="FF000000"/>
      <name val="Calibri"/>
    </font>
    <font>
      <b/>
      <sz val="12"/>
      <color rgb="FF000000"/>
      <name val="Calibri"/>
    </font>
    <font>
      <i/>
      <u/>
      <sz val="11"/>
      <color theme="1"/>
      <name val="Calibri"/>
      <family val="2"/>
      <scheme val="minor"/>
    </font>
    <font>
      <b/>
      <sz val="16"/>
      <color rgb="FF000000"/>
      <name val="Calibri"/>
      <family val="2"/>
      <scheme val="minor"/>
    </font>
    <font>
      <sz val="14"/>
      <color rgb="FF000000"/>
      <name val="Calibri"/>
      <family val="2"/>
      <scheme val="minor"/>
    </font>
    <font>
      <u/>
      <sz val="11"/>
      <color rgb="FF000000"/>
      <name val="Calibri"/>
      <family val="2"/>
      <scheme val="minor"/>
    </font>
    <font>
      <b/>
      <sz val="14"/>
      <color rgb="FF000000"/>
      <name val="Calibri"/>
      <scheme val="minor"/>
    </font>
    <font>
      <b/>
      <sz val="12"/>
      <color theme="1"/>
      <name val="Calibri"/>
      <scheme val="minor"/>
    </font>
    <font>
      <sz val="12"/>
      <color theme="1"/>
      <name val="Calibri"/>
      <family val="2"/>
      <scheme val="minor"/>
    </font>
    <font>
      <b/>
      <sz val="12"/>
      <color theme="1"/>
      <name val="Calibri"/>
      <family val="2"/>
      <scheme val="minor"/>
    </font>
    <font>
      <u/>
      <sz val="12"/>
      <color theme="10"/>
      <name val="Calibri"/>
      <scheme val="minor"/>
    </font>
    <font>
      <b/>
      <sz val="12"/>
      <color rgb="FF000000"/>
      <name val="Calibri"/>
      <family val="2"/>
      <scheme val="minor"/>
    </font>
    <font>
      <b/>
      <sz val="12"/>
      <color theme="0"/>
      <name val="Calibri"/>
      <scheme val="minor"/>
    </font>
    <font>
      <sz val="12"/>
      <color theme="0"/>
      <name val="Calibri"/>
      <scheme val="minor"/>
    </font>
    <font>
      <b/>
      <sz val="12"/>
      <color theme="0"/>
      <name val="Calibri"/>
      <family val="2"/>
      <scheme val="minor"/>
    </font>
  </fonts>
  <fills count="30">
    <fill>
      <patternFill patternType="none"/>
    </fill>
    <fill>
      <patternFill patternType="gray125"/>
    </fill>
    <fill>
      <patternFill patternType="solid">
        <fgColor rgb="FFFFFFFF"/>
        <bgColor rgb="FF000000"/>
      </patternFill>
    </fill>
    <fill>
      <patternFill patternType="solid">
        <fgColor rgb="FFC0D1F3"/>
        <bgColor rgb="FF000000"/>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tint="0.39997558519241921"/>
        <bgColor indexed="64"/>
      </patternFill>
    </fill>
    <fill>
      <patternFill patternType="solid">
        <fgColor rgb="FFE3CAE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5B0E0"/>
        <bgColor indexed="64"/>
      </patternFill>
    </fill>
    <fill>
      <patternFill patternType="solid">
        <fgColor theme="8" tint="0.39997558519241921"/>
        <bgColor indexed="64"/>
      </patternFill>
    </fill>
    <fill>
      <patternFill patternType="solid">
        <fgColor rgb="FF000000"/>
        <bgColor indexed="64"/>
      </patternFill>
    </fill>
    <fill>
      <patternFill patternType="solid">
        <fgColor rgb="FFE2EFDA"/>
        <bgColor indexed="64"/>
      </patternFill>
    </fill>
    <fill>
      <patternFill patternType="solid">
        <fgColor theme="1" tint="4.9989318521683403E-2"/>
        <bgColor indexed="64"/>
      </patternFill>
    </fill>
    <fill>
      <patternFill patternType="solid">
        <fgColor theme="6" tint="0.59999389629810485"/>
        <bgColor indexed="64"/>
      </patternFill>
    </fill>
  </fills>
  <borders count="65">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2"/>
      </left>
      <right style="thin">
        <color theme="2"/>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2"/>
      </left>
      <right/>
      <top/>
      <bottom style="thin">
        <color theme="2"/>
      </bottom>
      <diagonal/>
    </border>
    <border>
      <left/>
      <right style="thin">
        <color theme="2"/>
      </right>
      <top/>
      <bottom style="thin">
        <color theme="2"/>
      </bottom>
      <diagonal/>
    </border>
    <border>
      <left style="medium">
        <color rgb="FF000000"/>
      </left>
      <right style="medium">
        <color rgb="FF000000"/>
      </right>
      <top style="medium">
        <color rgb="FF000000"/>
      </top>
      <bottom style="medium">
        <color rgb="FF000000"/>
      </bottom>
      <diagonal/>
    </border>
    <border>
      <left/>
      <right style="thin">
        <color theme="2"/>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style="medium">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theme="2"/>
      </right>
      <top style="thin">
        <color theme="2"/>
      </top>
      <bottom/>
      <diagonal/>
    </border>
    <border>
      <left style="thin">
        <color theme="0"/>
      </left>
      <right style="thin">
        <color rgb="FF000000"/>
      </right>
      <top/>
      <bottom style="thin">
        <color theme="0"/>
      </bottom>
      <diagonal/>
    </border>
    <border>
      <left style="thin">
        <color rgb="FF000000"/>
      </left>
      <right style="thin">
        <color rgb="FF000000"/>
      </right>
      <top/>
      <bottom style="thin">
        <color theme="0"/>
      </bottom>
      <diagonal/>
    </border>
    <border>
      <left style="thin">
        <color rgb="FF000000"/>
      </left>
      <right/>
      <top/>
      <bottom style="thin">
        <color theme="0"/>
      </bottom>
      <diagonal/>
    </border>
    <border>
      <left style="thin">
        <color rgb="FF000000"/>
      </left>
      <right style="thin">
        <color theme="0"/>
      </right>
      <top/>
      <bottom style="thin">
        <color theme="0"/>
      </bottom>
      <diagonal/>
    </border>
  </borders>
  <cellStyleXfs count="2">
    <xf numFmtId="0" fontId="0" fillId="0" borderId="0"/>
    <xf numFmtId="0" fontId="3" fillId="0" borderId="0" applyNumberFormat="0" applyFill="0" applyBorder="0" applyAlignment="0" applyProtection="0"/>
  </cellStyleXfs>
  <cellXfs count="885">
    <xf numFmtId="0" fontId="0" fillId="0" borderId="0" xfId="0"/>
    <xf numFmtId="0" fontId="0" fillId="0" borderId="0" xfId="0" applyAlignment="1">
      <alignment vertical="center"/>
    </xf>
    <xf numFmtId="0" fontId="5" fillId="6" borderId="7" xfId="0" applyFont="1" applyFill="1" applyBorder="1" applyAlignment="1">
      <alignment vertical="center"/>
    </xf>
    <xf numFmtId="0" fontId="7" fillId="2" borderId="0" xfId="0" applyFont="1" applyFill="1"/>
    <xf numFmtId="0" fontId="8" fillId="3" borderId="3" xfId="0" applyFont="1" applyFill="1" applyBorder="1"/>
    <xf numFmtId="0" fontId="7" fillId="3" borderId="3" xfId="0" applyFont="1" applyFill="1" applyBorder="1"/>
    <xf numFmtId="0" fontId="7" fillId="0" borderId="3" xfId="0" applyFont="1" applyBorder="1"/>
    <xf numFmtId="0" fontId="7" fillId="0" borderId="0" xfId="0" applyFont="1"/>
    <xf numFmtId="0" fontId="0" fillId="8" borderId="7" xfId="0" applyFill="1" applyBorder="1"/>
    <xf numFmtId="0" fontId="0" fillId="8" borderId="7" xfId="0" applyFill="1" applyBorder="1" applyAlignment="1">
      <alignment wrapText="1"/>
    </xf>
    <xf numFmtId="0" fontId="0" fillId="0" borderId="7" xfId="0" applyBorder="1"/>
    <xf numFmtId="0" fontId="4" fillId="6" borderId="8" xfId="0" applyFont="1" applyFill="1" applyBorder="1"/>
    <xf numFmtId="0" fontId="0" fillId="14" borderId="0" xfId="0" applyFill="1"/>
    <xf numFmtId="0" fontId="3" fillId="0" borderId="0" xfId="1"/>
    <xf numFmtId="0" fontId="4" fillId="0" borderId="0" xfId="0" applyFont="1"/>
    <xf numFmtId="0" fontId="0" fillId="16" borderId="0" xfId="0" applyFill="1"/>
    <xf numFmtId="0" fontId="12" fillId="0" borderId="0" xfId="0" applyFont="1"/>
    <xf numFmtId="0" fontId="12" fillId="2" borderId="0" xfId="0" applyFont="1" applyFill="1"/>
    <xf numFmtId="0" fontId="8" fillId="0" borderId="0" xfId="0" applyFont="1"/>
    <xf numFmtId="0" fontId="0" fillId="11" borderId="0" xfId="0" applyFill="1"/>
    <xf numFmtId="0" fontId="0" fillId="0" borderId="16" xfId="0" applyBorder="1"/>
    <xf numFmtId="0" fontId="7" fillId="0" borderId="5" xfId="0" applyFont="1" applyBorder="1"/>
    <xf numFmtId="0" fontId="0" fillId="0" borderId="15" xfId="0" applyBorder="1"/>
    <xf numFmtId="0" fontId="7" fillId="0" borderId="11" xfId="0" applyFont="1" applyBorder="1"/>
    <xf numFmtId="0" fontId="6" fillId="17" borderId="7" xfId="0" applyFont="1" applyFill="1" applyBorder="1" applyAlignment="1">
      <alignment horizontal="center" vertical="center"/>
    </xf>
    <xf numFmtId="0" fontId="0" fillId="17" borderId="7" xfId="0" applyFill="1" applyBorder="1" applyAlignment="1">
      <alignment horizontal="center" vertical="center" wrapText="1"/>
    </xf>
    <xf numFmtId="0" fontId="7" fillId="17" borderId="7" xfId="0" applyFont="1" applyFill="1" applyBorder="1" applyAlignment="1">
      <alignment horizontal="center" vertical="center" wrapText="1"/>
    </xf>
    <xf numFmtId="0" fontId="14" fillId="17" borderId="7" xfId="0" applyFont="1" applyFill="1" applyBorder="1" applyAlignment="1">
      <alignment horizontal="center" vertical="center" wrapText="1"/>
    </xf>
    <xf numFmtId="0" fontId="5" fillId="17" borderId="7" xfId="0" applyFont="1" applyFill="1" applyBorder="1" applyAlignment="1">
      <alignment horizontal="center" vertical="center" wrapText="1"/>
    </xf>
    <xf numFmtId="0" fontId="22" fillId="0" borderId="0" xfId="0" applyFont="1"/>
    <xf numFmtId="0" fontId="0" fillId="0" borderId="7" xfId="0" applyBorder="1" applyAlignment="1">
      <alignment vertical="center"/>
    </xf>
    <xf numFmtId="0" fontId="8" fillId="8" borderId="7" xfId="0" applyFont="1" applyFill="1" applyBorder="1" applyAlignment="1">
      <alignment vertical="center"/>
    </xf>
    <xf numFmtId="0" fontId="13" fillId="0" borderId="0" xfId="0" applyFont="1" applyAlignment="1">
      <alignment vertical="center"/>
    </xf>
    <xf numFmtId="0" fontId="13" fillId="16" borderId="0" xfId="0" applyFont="1" applyFill="1" applyAlignment="1">
      <alignment vertical="center"/>
    </xf>
    <xf numFmtId="0" fontId="7" fillId="16" borderId="0" xfId="0" applyFont="1" applyFill="1"/>
    <xf numFmtId="0" fontId="8" fillId="8" borderId="7" xfId="0" applyFont="1" applyFill="1" applyBorder="1"/>
    <xf numFmtId="0" fontId="0" fillId="0" borderId="7" xfId="0" applyBorder="1" applyAlignment="1">
      <alignment wrapText="1"/>
    </xf>
    <xf numFmtId="0" fontId="2" fillId="16" borderId="0" xfId="0" applyFont="1" applyFill="1"/>
    <xf numFmtId="0" fontId="5" fillId="16" borderId="0" xfId="0" applyFont="1" applyFill="1"/>
    <xf numFmtId="0" fontId="2" fillId="16" borderId="6" xfId="0" applyFont="1" applyFill="1" applyBorder="1"/>
    <xf numFmtId="0" fontId="5" fillId="16" borderId="6" xfId="0" applyFont="1" applyFill="1" applyBorder="1"/>
    <xf numFmtId="0" fontId="2" fillId="16" borderId="1" xfId="0" applyFont="1" applyFill="1" applyBorder="1"/>
    <xf numFmtId="0" fontId="2" fillId="0" borderId="1" xfId="0" applyFont="1" applyBorder="1"/>
    <xf numFmtId="0" fontId="0" fillId="16" borderId="15" xfId="0" applyFill="1" applyBorder="1"/>
    <xf numFmtId="0" fontId="0" fillId="16" borderId="16" xfId="0" applyFill="1" applyBorder="1"/>
    <xf numFmtId="0" fontId="13" fillId="16" borderId="15" xfId="0" applyFont="1" applyFill="1" applyBorder="1" applyAlignment="1">
      <alignment vertical="center"/>
    </xf>
    <xf numFmtId="0" fontId="13" fillId="16" borderId="16" xfId="0" applyFont="1" applyFill="1" applyBorder="1" applyAlignment="1">
      <alignment vertical="center"/>
    </xf>
    <xf numFmtId="0" fontId="7" fillId="0" borderId="0" xfId="0" applyFont="1" applyAlignment="1">
      <alignment horizontal="center"/>
    </xf>
    <xf numFmtId="0" fontId="12" fillId="0" borderId="0" xfId="0" applyFont="1" applyAlignment="1">
      <alignment horizontal="center"/>
    </xf>
    <xf numFmtId="0" fontId="7" fillId="0" borderId="16" xfId="0" applyFont="1" applyBorder="1"/>
    <xf numFmtId="0" fontId="13" fillId="0" borderId="15" xfId="0" applyFont="1" applyBorder="1" applyAlignment="1">
      <alignment vertical="center"/>
    </xf>
    <xf numFmtId="0" fontId="13" fillId="0" borderId="16" xfId="0" applyFont="1" applyBorder="1" applyAlignment="1">
      <alignment vertical="center"/>
    </xf>
    <xf numFmtId="0" fontId="5" fillId="6" borderId="6" xfId="0" applyFont="1" applyFill="1" applyBorder="1" applyAlignment="1">
      <alignment vertical="center"/>
    </xf>
    <xf numFmtId="0" fontId="13" fillId="6" borderId="6" xfId="0" applyFont="1" applyFill="1" applyBorder="1" applyAlignment="1">
      <alignment vertical="center"/>
    </xf>
    <xf numFmtId="0" fontId="17" fillId="0" borderId="0" xfId="0" applyFont="1"/>
    <xf numFmtId="0" fontId="10" fillId="16" borderId="0" xfId="0" applyFont="1" applyFill="1"/>
    <xf numFmtId="0" fontId="10" fillId="0" borderId="0" xfId="0" applyFont="1"/>
    <xf numFmtId="0" fontId="18" fillId="0" borderId="0" xfId="0" applyFont="1"/>
    <xf numFmtId="0" fontId="17" fillId="0" borderId="0" xfId="0" applyFont="1" applyAlignment="1">
      <alignment horizontal="center"/>
    </xf>
    <xf numFmtId="0" fontId="16" fillId="0" borderId="0" xfId="0" applyFont="1"/>
    <xf numFmtId="0" fontId="7" fillId="0" borderId="0" xfId="0" applyFont="1" applyAlignment="1">
      <alignment wrapText="1"/>
    </xf>
    <xf numFmtId="0" fontId="7" fillId="0" borderId="0" xfId="0" applyFont="1" applyAlignment="1">
      <alignment horizontal="center" wrapText="1"/>
    </xf>
    <xf numFmtId="0" fontId="7" fillId="16" borderId="0" xfId="0" applyFont="1" applyFill="1" applyAlignment="1">
      <alignment wrapText="1"/>
    </xf>
    <xf numFmtId="165" fontId="4" fillId="0" borderId="9" xfId="0" applyNumberFormat="1" applyFont="1" applyBorder="1"/>
    <xf numFmtId="165" fontId="4" fillId="16" borderId="9" xfId="0" applyNumberFormat="1" applyFont="1" applyFill="1" applyBorder="1"/>
    <xf numFmtId="0" fontId="12" fillId="0" borderId="15" xfId="0" applyFont="1" applyBorder="1"/>
    <xf numFmtId="0" fontId="7" fillId="0" borderId="15" xfId="0" applyFont="1" applyBorder="1"/>
    <xf numFmtId="0" fontId="7" fillId="0" borderId="15" xfId="0" applyFont="1" applyBorder="1" applyAlignment="1">
      <alignment wrapText="1"/>
    </xf>
    <xf numFmtId="0" fontId="12" fillId="16" borderId="15" xfId="0" applyFont="1" applyFill="1" applyBorder="1"/>
    <xf numFmtId="0" fontId="7" fillId="16" borderId="15" xfId="0" applyFont="1" applyFill="1" applyBorder="1"/>
    <xf numFmtId="0" fontId="7" fillId="16" borderId="15" xfId="0" applyFont="1" applyFill="1" applyBorder="1" applyAlignment="1">
      <alignment wrapText="1"/>
    </xf>
    <xf numFmtId="0" fontId="18" fillId="0" borderId="15" xfId="0" applyFont="1" applyBorder="1"/>
    <xf numFmtId="0" fontId="12" fillId="0" borderId="11" xfId="0" applyFont="1" applyBorder="1"/>
    <xf numFmtId="165" fontId="4" fillId="16" borderId="16" xfId="0" applyNumberFormat="1" applyFont="1" applyFill="1" applyBorder="1"/>
    <xf numFmtId="14" fontId="4" fillId="16" borderId="9" xfId="0" applyNumberFormat="1" applyFont="1" applyFill="1" applyBorder="1"/>
    <xf numFmtId="165" fontId="4" fillId="15" borderId="9" xfId="0" applyNumberFormat="1" applyFont="1" applyFill="1" applyBorder="1"/>
    <xf numFmtId="14" fontId="4" fillId="0" borderId="9" xfId="0" applyNumberFormat="1" applyFont="1" applyBorder="1"/>
    <xf numFmtId="166" fontId="4" fillId="0" borderId="9" xfId="0" applyNumberFormat="1" applyFont="1" applyBorder="1"/>
    <xf numFmtId="0" fontId="13" fillId="17" borderId="7" xfId="0" applyFont="1" applyFill="1" applyBorder="1" applyAlignment="1">
      <alignment horizontal="center" vertical="center" wrapText="1"/>
    </xf>
    <xf numFmtId="0" fontId="13" fillId="15" borderId="7" xfId="0" applyFont="1" applyFill="1" applyBorder="1" applyAlignment="1">
      <alignment vertical="center"/>
    </xf>
    <xf numFmtId="0" fontId="13" fillId="15" borderId="7" xfId="0" applyFont="1" applyFill="1" applyBorder="1"/>
    <xf numFmtId="0" fontId="4" fillId="0" borderId="24" xfId="0" applyFont="1" applyBorder="1"/>
    <xf numFmtId="0" fontId="13" fillId="0" borderId="25" xfId="0" applyFont="1" applyBorder="1"/>
    <xf numFmtId="0" fontId="13" fillId="0" borderId="25" xfId="0" applyFont="1" applyBorder="1" applyAlignment="1">
      <alignment horizontal="center"/>
    </xf>
    <xf numFmtId="0" fontId="4" fillId="16" borderId="24" xfId="0" applyFont="1" applyFill="1" applyBorder="1"/>
    <xf numFmtId="0" fontId="13" fillId="16" borderId="25" xfId="0" applyFont="1" applyFill="1" applyBorder="1"/>
    <xf numFmtId="0" fontId="13" fillId="16" borderId="25" xfId="0" applyFont="1" applyFill="1" applyBorder="1" applyAlignment="1">
      <alignment horizontal="center"/>
    </xf>
    <xf numFmtId="0" fontId="4" fillId="16" borderId="25" xfId="0" applyFont="1" applyFill="1" applyBorder="1"/>
    <xf numFmtId="0" fontId="2" fillId="0" borderId="24" xfId="0" applyFont="1" applyBorder="1"/>
    <xf numFmtId="0" fontId="2" fillId="0" borderId="25" xfId="0" applyFont="1" applyBorder="1"/>
    <xf numFmtId="0" fontId="5" fillId="0" borderId="25" xfId="0" applyFont="1" applyBorder="1"/>
    <xf numFmtId="0" fontId="2" fillId="16" borderId="24" xfId="0" applyFont="1" applyFill="1" applyBorder="1"/>
    <xf numFmtId="0" fontId="2" fillId="16" borderId="25" xfId="0" applyFont="1" applyFill="1" applyBorder="1"/>
    <xf numFmtId="0" fontId="5" fillId="16" borderId="25" xfId="0" applyFont="1" applyFill="1" applyBorder="1"/>
    <xf numFmtId="0" fontId="2" fillId="0" borderId="26" xfId="0" applyFont="1" applyBorder="1"/>
    <xf numFmtId="0" fontId="4" fillId="0" borderId="25" xfId="0" applyFont="1" applyBorder="1"/>
    <xf numFmtId="0" fontId="2" fillId="16" borderId="26" xfId="0" applyFont="1" applyFill="1" applyBorder="1"/>
    <xf numFmtId="0" fontId="5" fillId="0" borderId="24" xfId="0" applyFont="1" applyBorder="1"/>
    <xf numFmtId="0" fontId="25" fillId="0" borderId="24" xfId="0" applyFont="1" applyBorder="1"/>
    <xf numFmtId="0" fontId="13" fillId="4" borderId="10" xfId="0" applyFont="1" applyFill="1" applyBorder="1" applyAlignment="1">
      <alignment horizontal="center" vertical="center" wrapText="1"/>
    </xf>
    <xf numFmtId="0" fontId="24" fillId="16" borderId="7" xfId="0" applyFont="1" applyFill="1" applyBorder="1" applyAlignment="1">
      <alignment horizontal="center" vertical="center"/>
    </xf>
    <xf numFmtId="0" fontId="4" fillId="7" borderId="25" xfId="0" applyFont="1" applyFill="1" applyBorder="1"/>
    <xf numFmtId="0" fontId="4" fillId="7" borderId="26" xfId="0" applyFont="1" applyFill="1" applyBorder="1"/>
    <xf numFmtId="0" fontId="26" fillId="3" borderId="4" xfId="0" applyFont="1" applyFill="1" applyBorder="1" applyAlignment="1">
      <alignment vertical="center"/>
    </xf>
    <xf numFmtId="0" fontId="0" fillId="0" borderId="0" xfId="0" applyAlignment="1">
      <alignment horizontal="center"/>
    </xf>
    <xf numFmtId="0" fontId="8" fillId="0" borderId="0" xfId="0" applyFont="1" applyAlignment="1">
      <alignment horizontal="center" vertical="center"/>
    </xf>
    <xf numFmtId="0" fontId="0" fillId="0" borderId="0" xfId="0" applyAlignment="1">
      <alignment horizontal="center" vertical="center"/>
    </xf>
    <xf numFmtId="0" fontId="13" fillId="15" borderId="7" xfId="0" applyFont="1" applyFill="1" applyBorder="1" applyAlignment="1">
      <alignment horizontal="center" vertical="center"/>
    </xf>
    <xf numFmtId="0" fontId="0" fillId="0" borderId="7" xfId="0" applyBorder="1" applyAlignment="1">
      <alignment horizontal="center" vertical="center"/>
    </xf>
    <xf numFmtId="0" fontId="0" fillId="8" borderId="7" xfId="0" applyFill="1" applyBorder="1" applyAlignment="1">
      <alignment horizontal="center" vertical="center"/>
    </xf>
    <xf numFmtId="0" fontId="13" fillId="6" borderId="2" xfId="0" applyFont="1" applyFill="1" applyBorder="1" applyAlignment="1">
      <alignment horizontal="center" vertical="center"/>
    </xf>
    <xf numFmtId="0" fontId="8" fillId="3" borderId="4" xfId="0" applyFont="1" applyFill="1" applyBorder="1" applyAlignment="1">
      <alignment horizontal="center" vertical="center"/>
    </xf>
    <xf numFmtId="0" fontId="4" fillId="4" borderId="24" xfId="0" applyFont="1" applyFill="1" applyBorder="1" applyAlignment="1">
      <alignment horizontal="center" vertical="center"/>
    </xf>
    <xf numFmtId="0" fontId="0" fillId="0" borderId="2" xfId="0" applyBorder="1" applyAlignment="1">
      <alignment horizontal="center" vertical="center"/>
    </xf>
    <xf numFmtId="0" fontId="0" fillId="8" borderId="2" xfId="0" applyFill="1" applyBorder="1" applyAlignment="1">
      <alignment horizontal="center" vertical="center"/>
    </xf>
    <xf numFmtId="0" fontId="0" fillId="9" borderId="7" xfId="0" applyFill="1" applyBorder="1" applyAlignment="1">
      <alignment wrapText="1"/>
    </xf>
    <xf numFmtId="0" fontId="0" fillId="9" borderId="2" xfId="0" applyFill="1" applyBorder="1" applyAlignment="1">
      <alignment horizontal="center" vertical="center"/>
    </xf>
    <xf numFmtId="0" fontId="12" fillId="0" borderId="15" xfId="0" applyFont="1" applyBorder="1" applyAlignment="1">
      <alignment wrapText="1"/>
    </xf>
    <xf numFmtId="0" fontId="12" fillId="0" borderId="14" xfId="0" applyFont="1" applyBorder="1" applyAlignment="1">
      <alignment horizontal="center"/>
    </xf>
    <xf numFmtId="0" fontId="0" fillId="0" borderId="12" xfId="0" applyBorder="1" applyAlignment="1">
      <alignment horizontal="center"/>
    </xf>
    <xf numFmtId="0" fontId="12" fillId="16" borderId="14" xfId="0" applyFont="1" applyFill="1" applyBorder="1" applyAlignment="1">
      <alignment horizontal="center"/>
    </xf>
    <xf numFmtId="0" fontId="0" fillId="16" borderId="12" xfId="0" applyFill="1" applyBorder="1" applyAlignment="1">
      <alignment horizontal="center"/>
    </xf>
    <xf numFmtId="0" fontId="12" fillId="0" borderId="12" xfId="0" applyFont="1" applyBorder="1" applyAlignment="1">
      <alignment horizontal="center"/>
    </xf>
    <xf numFmtId="0" fontId="0" fillId="16" borderId="14" xfId="0" applyFill="1" applyBorder="1" applyAlignment="1">
      <alignment horizontal="center"/>
    </xf>
    <xf numFmtId="0" fontId="7" fillId="16" borderId="12" xfId="0" applyFont="1" applyFill="1" applyBorder="1" applyAlignment="1">
      <alignment horizontal="center"/>
    </xf>
    <xf numFmtId="0" fontId="4" fillId="6" borderId="8" xfId="0" applyFont="1" applyFill="1" applyBorder="1" applyAlignment="1">
      <alignment horizontal="center"/>
    </xf>
    <xf numFmtId="0" fontId="7" fillId="0" borderId="14" xfId="0" applyFont="1" applyBorder="1" applyAlignment="1">
      <alignment horizontal="center"/>
    </xf>
    <xf numFmtId="0" fontId="7" fillId="0" borderId="12" xfId="0" applyFont="1" applyBorder="1" applyAlignment="1">
      <alignment horizontal="center"/>
    </xf>
    <xf numFmtId="0" fontId="12" fillId="16" borderId="12" xfId="0" applyFont="1" applyFill="1" applyBorder="1" applyAlignment="1">
      <alignment horizontal="center"/>
    </xf>
    <xf numFmtId="0" fontId="0" fillId="16" borderId="13" xfId="0" applyFill="1" applyBorder="1" applyAlignment="1">
      <alignment horizontal="center"/>
    </xf>
    <xf numFmtId="0" fontId="5" fillId="6" borderId="6" xfId="0" applyFont="1" applyFill="1" applyBorder="1" applyAlignment="1">
      <alignment horizontal="center" vertical="center"/>
    </xf>
    <xf numFmtId="0" fontId="7" fillId="0" borderId="13" xfId="0" applyFont="1" applyBorder="1" applyAlignment="1">
      <alignment horizontal="center"/>
    </xf>
    <xf numFmtId="0" fontId="4" fillId="21" borderId="0" xfId="0" applyFont="1" applyFill="1"/>
    <xf numFmtId="0" fontId="3" fillId="9" borderId="7" xfId="1" applyFill="1" applyBorder="1" applyAlignment="1">
      <alignment horizontal="center" vertical="center"/>
    </xf>
    <xf numFmtId="0" fontId="3" fillId="9" borderId="0" xfId="1" applyFill="1" applyAlignment="1">
      <alignment horizontal="center" vertical="center"/>
    </xf>
    <xf numFmtId="0" fontId="12" fillId="9" borderId="7" xfId="0" applyFont="1" applyFill="1" applyBorder="1" applyAlignment="1">
      <alignment vertical="center" wrapText="1"/>
    </xf>
    <xf numFmtId="0" fontId="0" fillId="0" borderId="0" xfId="0" applyAlignment="1">
      <alignment wrapText="1"/>
    </xf>
    <xf numFmtId="0" fontId="12" fillId="16" borderId="15" xfId="0" applyFont="1" applyFill="1" applyBorder="1" applyAlignment="1">
      <alignment wrapText="1"/>
    </xf>
    <xf numFmtId="0" fontId="0" fillId="16" borderId="0" xfId="0" applyFill="1" applyAlignment="1">
      <alignment wrapText="1"/>
    </xf>
    <xf numFmtId="0" fontId="12" fillId="0" borderId="0" xfId="0" applyFont="1" applyAlignment="1">
      <alignment wrapText="1"/>
    </xf>
    <xf numFmtId="0" fontId="0" fillId="16" borderId="15" xfId="0" applyFill="1" applyBorder="1" applyAlignment="1">
      <alignment wrapText="1"/>
    </xf>
    <xf numFmtId="0" fontId="4" fillId="6" borderId="8" xfId="0" applyFont="1" applyFill="1" applyBorder="1" applyAlignment="1">
      <alignment wrapText="1"/>
    </xf>
    <xf numFmtId="0" fontId="0" fillId="16" borderId="16" xfId="0" applyFill="1" applyBorder="1" applyAlignment="1">
      <alignment wrapText="1"/>
    </xf>
    <xf numFmtId="0" fontId="5" fillId="6" borderId="6" xfId="0" applyFont="1" applyFill="1" applyBorder="1" applyAlignment="1">
      <alignment vertical="center" wrapText="1"/>
    </xf>
    <xf numFmtId="0" fontId="7" fillId="0" borderId="16" xfId="0" applyFont="1" applyBorder="1" applyAlignment="1">
      <alignment wrapText="1"/>
    </xf>
    <xf numFmtId="0" fontId="0" fillId="9" borderId="7" xfId="0" applyFill="1" applyBorder="1" applyAlignment="1">
      <alignment vertical="center"/>
    </xf>
    <xf numFmtId="0" fontId="0" fillId="9" borderId="2" xfId="0" applyFill="1" applyBorder="1" applyAlignment="1">
      <alignment horizontal="center" vertical="center" wrapText="1"/>
    </xf>
    <xf numFmtId="16" fontId="0" fillId="0" borderId="7" xfId="0" applyNumberFormat="1" applyBorder="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xf>
    <xf numFmtId="0" fontId="27" fillId="14" borderId="0" xfId="0" applyFont="1" applyFill="1"/>
    <xf numFmtId="0" fontId="7" fillId="20" borderId="0" xfId="0" applyFont="1" applyFill="1"/>
    <xf numFmtId="0" fontId="4" fillId="20" borderId="8" xfId="0" applyFont="1" applyFill="1" applyBorder="1"/>
    <xf numFmtId="0" fontId="29" fillId="0" borderId="0" xfId="0" applyFont="1" applyAlignment="1">
      <alignment horizontal="center" vertical="center" wrapText="1"/>
    </xf>
    <xf numFmtId="0" fontId="0" fillId="20" borderId="7" xfId="0" applyFill="1" applyBorder="1" applyAlignment="1">
      <alignment vertical="center"/>
    </xf>
    <xf numFmtId="0" fontId="0" fillId="20" borderId="0" xfId="0" applyFill="1"/>
    <xf numFmtId="0" fontId="0" fillId="0" borderId="8" xfId="0" applyBorder="1"/>
    <xf numFmtId="0" fontId="0" fillId="0" borderId="2" xfId="0" applyBorder="1"/>
    <xf numFmtId="0" fontId="7" fillId="2" borderId="29" xfId="0" applyFont="1" applyFill="1" applyBorder="1"/>
    <xf numFmtId="0" fontId="7" fillId="0" borderId="30" xfId="0" applyFont="1" applyBorder="1"/>
    <xf numFmtId="0" fontId="12" fillId="0" borderId="32" xfId="0" applyFont="1" applyBorder="1"/>
    <xf numFmtId="0" fontId="31" fillId="0" borderId="0" xfId="0" applyFont="1" applyAlignment="1">
      <alignment horizontal="center" vertical="center"/>
    </xf>
    <xf numFmtId="0" fontId="31" fillId="0" borderId="0" xfId="0" applyFont="1"/>
    <xf numFmtId="0" fontId="7" fillId="0" borderId="0" xfId="0" applyFont="1" applyAlignment="1">
      <alignment horizontal="center" vertical="center"/>
    </xf>
    <xf numFmtId="0" fontId="7" fillId="0" borderId="0" xfId="0" applyFont="1" applyAlignment="1">
      <alignment horizontal="center" vertical="center" wrapText="1"/>
    </xf>
    <xf numFmtId="0" fontId="5" fillId="9" borderId="7" xfId="0" applyFont="1" applyFill="1" applyBorder="1" applyAlignment="1">
      <alignment horizontal="center" vertical="center" wrapText="1"/>
    </xf>
    <xf numFmtId="0" fontId="24" fillId="16" borderId="1" xfId="0" applyFont="1" applyFill="1" applyBorder="1" applyAlignment="1">
      <alignment horizontal="center" vertical="center"/>
    </xf>
    <xf numFmtId="0" fontId="0" fillId="10" borderId="31" xfId="0" applyFill="1" applyBorder="1" applyAlignment="1">
      <alignment horizontal="center" vertical="center"/>
    </xf>
    <xf numFmtId="0" fontId="12" fillId="10" borderId="21" xfId="0" applyFont="1" applyFill="1" applyBorder="1" applyAlignment="1">
      <alignment horizontal="center" vertical="center"/>
    </xf>
    <xf numFmtId="0" fontId="12" fillId="10" borderId="23" xfId="0" applyFont="1" applyFill="1" applyBorder="1" applyAlignment="1">
      <alignment horizontal="center" vertical="center"/>
    </xf>
    <xf numFmtId="0" fontId="0" fillId="10" borderId="21" xfId="0" applyFill="1" applyBorder="1" applyAlignment="1">
      <alignment horizontal="center" vertical="center"/>
    </xf>
    <xf numFmtId="0" fontId="0" fillId="10" borderId="23" xfId="0" applyFill="1" applyBorder="1" applyAlignment="1">
      <alignment horizontal="center" vertical="center"/>
    </xf>
    <xf numFmtId="0" fontId="15" fillId="9" borderId="22" xfId="0" applyFont="1" applyFill="1" applyBorder="1"/>
    <xf numFmtId="0" fontId="35" fillId="10" borderId="22" xfId="0" applyFont="1" applyFill="1" applyBorder="1" applyAlignment="1">
      <alignment vertical="center"/>
    </xf>
    <xf numFmtId="0" fontId="15" fillId="20" borderId="22" xfId="0" applyFont="1" applyFill="1" applyBorder="1" applyAlignment="1">
      <alignment vertical="center"/>
    </xf>
    <xf numFmtId="0" fontId="0" fillId="8" borderId="7" xfId="0" applyFill="1" applyBorder="1" applyAlignment="1">
      <alignment horizontal="center"/>
    </xf>
    <xf numFmtId="0" fontId="0" fillId="0" borderId="7" xfId="0" applyBorder="1" applyAlignment="1">
      <alignment horizontal="center" vertical="center" wrapText="1"/>
    </xf>
    <xf numFmtId="0" fontId="0" fillId="10" borderId="7" xfId="0" applyFill="1" applyBorder="1"/>
    <xf numFmtId="0" fontId="0" fillId="10" borderId="2" xfId="0" applyFill="1" applyBorder="1"/>
    <xf numFmtId="0" fontId="0" fillId="9" borderId="7" xfId="0" applyFill="1" applyBorder="1"/>
    <xf numFmtId="0" fontId="0" fillId="9" borderId="2" xfId="0" applyFill="1" applyBorder="1"/>
    <xf numFmtId="0" fontId="0" fillId="8" borderId="2" xfId="0" applyFill="1" applyBorder="1"/>
    <xf numFmtId="0" fontId="0" fillId="16" borderId="7" xfId="0" applyFill="1" applyBorder="1"/>
    <xf numFmtId="0" fontId="0" fillId="5" borderId="7" xfId="0" applyFill="1" applyBorder="1"/>
    <xf numFmtId="0" fontId="0" fillId="16" borderId="2" xfId="0" applyFill="1" applyBorder="1"/>
    <xf numFmtId="0" fontId="0" fillId="5" borderId="2" xfId="0" applyFill="1" applyBorder="1"/>
    <xf numFmtId="0" fontId="0" fillId="0" borderId="0" xfId="0" applyAlignment="1">
      <alignment horizontal="left" vertical="top" wrapText="1"/>
    </xf>
    <xf numFmtId="164" fontId="0" fillId="0" borderId="0" xfId="0" applyNumberFormat="1"/>
    <xf numFmtId="164" fontId="36" fillId="19" borderId="28" xfId="0" applyNumberFormat="1" applyFont="1" applyFill="1" applyBorder="1"/>
    <xf numFmtId="0" fontId="12" fillId="0" borderId="15" xfId="0" applyFont="1" applyBorder="1" applyAlignment="1">
      <alignment horizontal="center"/>
    </xf>
    <xf numFmtId="0" fontId="12" fillId="16" borderId="0" xfId="0" applyFont="1" applyFill="1" applyAlignment="1">
      <alignment horizontal="center"/>
    </xf>
    <xf numFmtId="0" fontId="0" fillId="16" borderId="0" xfId="0" applyFill="1" applyAlignment="1">
      <alignment horizontal="center"/>
    </xf>
    <xf numFmtId="0" fontId="0" fillId="16" borderId="15" xfId="0" applyFill="1" applyBorder="1" applyAlignment="1">
      <alignment horizontal="center"/>
    </xf>
    <xf numFmtId="0" fontId="7" fillId="16" borderId="0" xfId="0" applyFont="1" applyFill="1" applyAlignment="1">
      <alignment horizontal="center"/>
    </xf>
    <xf numFmtId="0" fontId="7" fillId="0" borderId="15" xfId="0" applyFont="1" applyBorder="1" applyAlignment="1">
      <alignment horizontal="center"/>
    </xf>
    <xf numFmtId="0" fontId="0" fillId="16" borderId="16" xfId="0" applyFill="1" applyBorder="1" applyAlignment="1">
      <alignment horizontal="center"/>
    </xf>
    <xf numFmtId="0" fontId="7" fillId="0" borderId="16" xfId="0" applyFont="1" applyBorder="1" applyAlignment="1">
      <alignment horizontal="center"/>
    </xf>
    <xf numFmtId="0" fontId="0" fillId="10" borderId="24" xfId="0" applyFill="1" applyBorder="1" applyAlignment="1">
      <alignment horizontal="center" vertical="center"/>
    </xf>
    <xf numFmtId="0" fontId="12" fillId="16" borderId="7" xfId="0" applyFont="1" applyFill="1" applyBorder="1"/>
    <xf numFmtId="0" fontId="12" fillId="16" borderId="2" xfId="0" applyFont="1" applyFill="1" applyBorder="1"/>
    <xf numFmtId="0" fontId="4" fillId="9" borderId="42" xfId="0" applyFont="1" applyFill="1" applyBorder="1"/>
    <xf numFmtId="0" fontId="4" fillId="8" borderId="42" xfId="0" applyFont="1" applyFill="1" applyBorder="1"/>
    <xf numFmtId="0" fontId="13" fillId="16" borderId="42" xfId="0" applyFont="1" applyFill="1" applyBorder="1"/>
    <xf numFmtId="0" fontId="4" fillId="5" borderId="42" xfId="0" applyFont="1" applyFill="1" applyBorder="1"/>
    <xf numFmtId="0" fontId="0" fillId="9" borderId="36" xfId="0" applyFill="1" applyBorder="1"/>
    <xf numFmtId="0" fontId="0" fillId="8" borderId="36" xfId="0" applyFill="1" applyBorder="1"/>
    <xf numFmtId="0" fontId="12" fillId="16" borderId="36" xfId="0" applyFont="1" applyFill="1" applyBorder="1"/>
    <xf numFmtId="0" fontId="0" fillId="5" borderId="36" xfId="0" applyFill="1" applyBorder="1"/>
    <xf numFmtId="0" fontId="4" fillId="9" borderId="8" xfId="0" applyFont="1" applyFill="1" applyBorder="1"/>
    <xf numFmtId="0" fontId="4" fillId="8" borderId="8" xfId="0" applyFont="1" applyFill="1" applyBorder="1"/>
    <xf numFmtId="0" fontId="13" fillId="16" borderId="8" xfId="0" applyFont="1" applyFill="1" applyBorder="1"/>
    <xf numFmtId="0" fontId="4" fillId="5" borderId="8" xfId="0" applyFont="1" applyFill="1" applyBorder="1"/>
    <xf numFmtId="0" fontId="4" fillId="9" borderId="10" xfId="0" applyFont="1" applyFill="1" applyBorder="1"/>
    <xf numFmtId="0" fontId="4" fillId="8" borderId="10" xfId="0" applyFont="1" applyFill="1" applyBorder="1"/>
    <xf numFmtId="0" fontId="13" fillId="16" borderId="10" xfId="0" applyFont="1" applyFill="1" applyBorder="1"/>
    <xf numFmtId="0" fontId="4" fillId="5" borderId="10" xfId="0" applyFont="1" applyFill="1" applyBorder="1"/>
    <xf numFmtId="0" fontId="4" fillId="9" borderId="45" xfId="0" applyFont="1" applyFill="1" applyBorder="1"/>
    <xf numFmtId="0" fontId="4" fillId="8" borderId="45" xfId="0" applyFont="1" applyFill="1" applyBorder="1"/>
    <xf numFmtId="0" fontId="13" fillId="16" borderId="45" xfId="0" applyFont="1" applyFill="1" applyBorder="1"/>
    <xf numFmtId="0" fontId="4" fillId="5" borderId="45" xfId="0" applyFont="1" applyFill="1" applyBorder="1"/>
    <xf numFmtId="0" fontId="0" fillId="8" borderId="47" xfId="0" applyFill="1" applyBorder="1"/>
    <xf numFmtId="0" fontId="0" fillId="5" borderId="47" xfId="0" applyFill="1" applyBorder="1"/>
    <xf numFmtId="0" fontId="0" fillId="9" borderId="8" xfId="0" applyFill="1" applyBorder="1"/>
    <xf numFmtId="0" fontId="0" fillId="8" borderId="8" xfId="0" applyFill="1" applyBorder="1"/>
    <xf numFmtId="0" fontId="12" fillId="16" borderId="8" xfId="0" applyFont="1" applyFill="1" applyBorder="1"/>
    <xf numFmtId="0" fontId="0" fillId="5" borderId="8" xfId="0" applyFill="1" applyBorder="1"/>
    <xf numFmtId="0" fontId="4" fillId="9" borderId="51" xfId="0" applyFont="1" applyFill="1" applyBorder="1"/>
    <xf numFmtId="0" fontId="4" fillId="8" borderId="51" xfId="0" applyFont="1" applyFill="1" applyBorder="1"/>
    <xf numFmtId="0" fontId="13" fillId="16" borderId="51" xfId="0" applyFont="1" applyFill="1" applyBorder="1"/>
    <xf numFmtId="0" fontId="4" fillId="5" borderId="51" xfId="0" applyFont="1" applyFill="1" applyBorder="1"/>
    <xf numFmtId="0" fontId="5" fillId="8" borderId="45" xfId="0" applyFont="1" applyFill="1" applyBorder="1"/>
    <xf numFmtId="0" fontId="5" fillId="16" borderId="45" xfId="0" applyFont="1" applyFill="1" applyBorder="1"/>
    <xf numFmtId="0" fontId="4" fillId="9" borderId="9" xfId="0" applyFont="1" applyFill="1" applyBorder="1"/>
    <xf numFmtId="0" fontId="4" fillId="8" borderId="9" xfId="0" applyFont="1" applyFill="1" applyBorder="1"/>
    <xf numFmtId="0" fontId="13" fillId="16" borderId="9" xfId="0" applyFont="1" applyFill="1" applyBorder="1"/>
    <xf numFmtId="0" fontId="4" fillId="5" borderId="9" xfId="0" applyFont="1" applyFill="1" applyBorder="1"/>
    <xf numFmtId="0" fontId="0" fillId="10" borderId="45" xfId="0" applyFill="1" applyBorder="1"/>
    <xf numFmtId="0" fontId="0" fillId="9" borderId="45" xfId="0" applyFill="1" applyBorder="1"/>
    <xf numFmtId="0" fontId="0" fillId="8" borderId="45" xfId="0" applyFill="1" applyBorder="1"/>
    <xf numFmtId="0" fontId="12" fillId="16" borderId="45" xfId="0" applyFont="1" applyFill="1" applyBorder="1"/>
    <xf numFmtId="0" fontId="0" fillId="5" borderId="45" xfId="0" applyFill="1" applyBorder="1"/>
    <xf numFmtId="0" fontId="4" fillId="10" borderId="17" xfId="0" applyFont="1" applyFill="1" applyBorder="1"/>
    <xf numFmtId="0" fontId="4" fillId="10" borderId="18" xfId="0" applyFont="1" applyFill="1" applyBorder="1"/>
    <xf numFmtId="0" fontId="4" fillId="9" borderId="17" xfId="0" applyFont="1" applyFill="1" applyBorder="1"/>
    <xf numFmtId="0" fontId="4" fillId="9" borderId="18" xfId="0" applyFont="1" applyFill="1" applyBorder="1"/>
    <xf numFmtId="0" fontId="4" fillId="8" borderId="17" xfId="0" applyFont="1" applyFill="1" applyBorder="1"/>
    <xf numFmtId="0" fontId="4" fillId="8" borderId="18" xfId="0" applyFont="1" applyFill="1" applyBorder="1"/>
    <xf numFmtId="0" fontId="13" fillId="16" borderId="17" xfId="0" applyFont="1" applyFill="1" applyBorder="1"/>
    <xf numFmtId="0" fontId="13" fillId="16" borderId="18" xfId="0" applyFont="1" applyFill="1" applyBorder="1"/>
    <xf numFmtId="0" fontId="4" fillId="5" borderId="17" xfId="0" applyFont="1" applyFill="1" applyBorder="1"/>
    <xf numFmtId="0" fontId="4" fillId="5" borderId="18" xfId="0" applyFont="1" applyFill="1" applyBorder="1"/>
    <xf numFmtId="167" fontId="26" fillId="3" borderId="4" xfId="0" applyNumberFormat="1" applyFont="1" applyFill="1" applyBorder="1" applyAlignment="1">
      <alignment vertical="center"/>
    </xf>
    <xf numFmtId="167" fontId="0" fillId="0" borderId="0" xfId="0" applyNumberFormat="1"/>
    <xf numFmtId="167" fontId="4" fillId="0" borderId="0" xfId="0" applyNumberFormat="1" applyFont="1"/>
    <xf numFmtId="167" fontId="4" fillId="0" borderId="38" xfId="0" applyNumberFormat="1" applyFont="1" applyBorder="1"/>
    <xf numFmtId="167" fontId="0" fillId="0" borderId="48" xfId="0" applyNumberFormat="1" applyBorder="1"/>
    <xf numFmtId="167" fontId="4" fillId="0" borderId="41" xfId="0" applyNumberFormat="1" applyFont="1" applyBorder="1"/>
    <xf numFmtId="167" fontId="0" fillId="0" borderId="33" xfId="0" applyNumberFormat="1" applyBorder="1"/>
    <xf numFmtId="167" fontId="4" fillId="0" borderId="48" xfId="0" applyNumberFormat="1" applyFont="1" applyBorder="1"/>
    <xf numFmtId="167" fontId="4" fillId="0" borderId="50" xfId="0" applyNumberFormat="1" applyFont="1" applyBorder="1"/>
    <xf numFmtId="167" fontId="0" fillId="0" borderId="35" xfId="0" applyNumberFormat="1" applyBorder="1"/>
    <xf numFmtId="167" fontId="4" fillId="0" borderId="44" xfId="0" applyNumberFormat="1" applyFont="1" applyBorder="1"/>
    <xf numFmtId="167" fontId="4" fillId="12" borderId="50" xfId="0" applyNumberFormat="1" applyFont="1" applyFill="1" applyBorder="1"/>
    <xf numFmtId="0" fontId="0" fillId="10" borderId="51" xfId="0" applyFill="1" applyBorder="1"/>
    <xf numFmtId="0" fontId="0" fillId="9" borderId="51" xfId="0" applyFill="1" applyBorder="1"/>
    <xf numFmtId="0" fontId="0" fillId="8" borderId="51" xfId="0" applyFill="1" applyBorder="1"/>
    <xf numFmtId="0" fontId="12" fillId="16" borderId="51" xfId="0" applyFont="1" applyFill="1" applyBorder="1"/>
    <xf numFmtId="0" fontId="0" fillId="5" borderId="51" xfId="0" applyFill="1" applyBorder="1"/>
    <xf numFmtId="167" fontId="4" fillId="0" borderId="53" xfId="0" applyNumberFormat="1" applyFont="1" applyBorder="1"/>
    <xf numFmtId="0" fontId="0" fillId="10" borderId="54" xfId="0" applyFill="1" applyBorder="1"/>
    <xf numFmtId="0" fontId="0" fillId="9" borderId="54" xfId="0" applyFill="1" applyBorder="1"/>
    <xf numFmtId="0" fontId="0" fillId="8" borderId="54" xfId="0" applyFill="1" applyBorder="1"/>
    <xf numFmtId="0" fontId="12" fillId="16" borderId="54" xfId="0" applyFont="1" applyFill="1" applyBorder="1"/>
    <xf numFmtId="0" fontId="0" fillId="5" borderId="54" xfId="0" applyFill="1" applyBorder="1"/>
    <xf numFmtId="167" fontId="4" fillId="0" borderId="55" xfId="0" applyNumberFormat="1" applyFont="1" applyBorder="1"/>
    <xf numFmtId="167" fontId="0" fillId="0" borderId="57" xfId="0" applyNumberFormat="1" applyBorder="1"/>
    <xf numFmtId="167" fontId="0" fillId="0" borderId="44" xfId="0" applyNumberFormat="1" applyBorder="1"/>
    <xf numFmtId="0" fontId="37" fillId="9" borderId="0" xfId="0" applyFont="1" applyFill="1"/>
    <xf numFmtId="0" fontId="0" fillId="8" borderId="25" xfId="0" applyFill="1" applyBorder="1"/>
    <xf numFmtId="0" fontId="5" fillId="8" borderId="51" xfId="0" applyFont="1" applyFill="1" applyBorder="1"/>
    <xf numFmtId="0" fontId="5" fillId="16" borderId="51" xfId="0" applyFont="1" applyFill="1" applyBorder="1"/>
    <xf numFmtId="0" fontId="4" fillId="9" borderId="24" xfId="0" applyFont="1" applyFill="1" applyBorder="1"/>
    <xf numFmtId="0" fontId="37" fillId="8" borderId="10" xfId="0" applyFont="1" applyFill="1" applyBorder="1"/>
    <xf numFmtId="0" fontId="4" fillId="8" borderId="26" xfId="0" applyFont="1" applyFill="1" applyBorder="1"/>
    <xf numFmtId="0" fontId="0" fillId="9" borderId="9" xfId="0" applyFill="1" applyBorder="1"/>
    <xf numFmtId="0" fontId="0" fillId="9" borderId="15" xfId="0" applyFill="1" applyBorder="1"/>
    <xf numFmtId="0" fontId="0" fillId="8" borderId="0" xfId="0" applyFill="1"/>
    <xf numFmtId="0" fontId="12" fillId="16" borderId="9" xfId="0" applyFont="1" applyFill="1" applyBorder="1"/>
    <xf numFmtId="0" fontId="0" fillId="5" borderId="9" xfId="0" applyFill="1" applyBorder="1"/>
    <xf numFmtId="0" fontId="0" fillId="5" borderId="15" xfId="0" applyFill="1" applyBorder="1"/>
    <xf numFmtId="0" fontId="0" fillId="9" borderId="25" xfId="0" applyFill="1" applyBorder="1"/>
    <xf numFmtId="0" fontId="37" fillId="16" borderId="0" xfId="0" applyFont="1" applyFill="1"/>
    <xf numFmtId="0" fontId="37" fillId="5" borderId="0" xfId="0" applyFont="1" applyFill="1"/>
    <xf numFmtId="0" fontId="0" fillId="5" borderId="25" xfId="0" applyFill="1" applyBorder="1"/>
    <xf numFmtId="0" fontId="4" fillId="22" borderId="17" xfId="0" applyFont="1" applyFill="1" applyBorder="1"/>
    <xf numFmtId="0" fontId="4" fillId="22" borderId="18" xfId="0" applyFont="1" applyFill="1" applyBorder="1"/>
    <xf numFmtId="0" fontId="0" fillId="22" borderId="51" xfId="0" applyFill="1" applyBorder="1"/>
    <xf numFmtId="0" fontId="0" fillId="22" borderId="45" xfId="0" applyFill="1" applyBorder="1"/>
    <xf numFmtId="0" fontId="0" fillId="22" borderId="54" xfId="0" applyFill="1" applyBorder="1"/>
    <xf numFmtId="0" fontId="4" fillId="22" borderId="9" xfId="0" applyFont="1" applyFill="1" applyBorder="1"/>
    <xf numFmtId="0" fontId="4" fillId="22" borderId="45" xfId="0" applyFont="1" applyFill="1" applyBorder="1"/>
    <xf numFmtId="0" fontId="4" fillId="22" borderId="10" xfId="0" applyFont="1" applyFill="1" applyBorder="1"/>
    <xf numFmtId="0" fontId="0" fillId="22" borderId="8" xfId="0" applyFill="1" applyBorder="1"/>
    <xf numFmtId="0" fontId="0" fillId="22" borderId="7" xfId="0" applyFill="1" applyBorder="1"/>
    <xf numFmtId="0" fontId="0" fillId="22" borderId="36" xfId="0" applyFill="1" applyBorder="1"/>
    <xf numFmtId="2" fontId="4" fillId="22" borderId="10" xfId="0" applyNumberFormat="1" applyFont="1" applyFill="1" applyBorder="1"/>
    <xf numFmtId="2" fontId="0" fillId="22" borderId="8" xfId="0" applyNumberFormat="1" applyFill="1" applyBorder="1"/>
    <xf numFmtId="0" fontId="4" fillId="22" borderId="51" xfId="0" applyFont="1" applyFill="1" applyBorder="1"/>
    <xf numFmtId="0" fontId="4" fillId="22" borderId="42" xfId="0" applyFont="1" applyFill="1" applyBorder="1"/>
    <xf numFmtId="2" fontId="4" fillId="22" borderId="42" xfId="0" applyNumberFormat="1" applyFont="1" applyFill="1" applyBorder="1"/>
    <xf numFmtId="0" fontId="4" fillId="22" borderId="8" xfId="0" applyFont="1" applyFill="1" applyBorder="1"/>
    <xf numFmtId="0" fontId="37" fillId="22" borderId="0" xfId="0" applyFont="1" applyFill="1"/>
    <xf numFmtId="0" fontId="0" fillId="22" borderId="25" xfId="0" applyFill="1" applyBorder="1"/>
    <xf numFmtId="0" fontId="0" fillId="22" borderId="0" xfId="0" applyFill="1"/>
    <xf numFmtId="0" fontId="0" fillId="22" borderId="2" xfId="0" applyFill="1" applyBorder="1"/>
    <xf numFmtId="0" fontId="13" fillId="20" borderId="17" xfId="0" applyFont="1" applyFill="1" applyBorder="1"/>
    <xf numFmtId="0" fontId="13" fillId="20" borderId="18" xfId="0" applyFont="1" applyFill="1" applyBorder="1"/>
    <xf numFmtId="0" fontId="12" fillId="20" borderId="51" xfId="0" applyFont="1" applyFill="1" applyBorder="1"/>
    <xf numFmtId="0" fontId="12" fillId="20" borderId="45" xfId="0" applyFont="1" applyFill="1" applyBorder="1"/>
    <xf numFmtId="0" fontId="12" fillId="20" borderId="54" xfId="0" applyFont="1" applyFill="1" applyBorder="1"/>
    <xf numFmtId="0" fontId="13" fillId="20" borderId="9" xfId="0" applyFont="1" applyFill="1" applyBorder="1"/>
    <xf numFmtId="0" fontId="13" fillId="20" borderId="45" xfId="0" applyFont="1" applyFill="1" applyBorder="1"/>
    <xf numFmtId="0" fontId="13" fillId="20" borderId="10" xfId="0" applyFont="1" applyFill="1" applyBorder="1"/>
    <xf numFmtId="0" fontId="12" fillId="20" borderId="8" xfId="0" applyFont="1" applyFill="1" applyBorder="1"/>
    <xf numFmtId="0" fontId="12" fillId="20" borderId="7" xfId="0" applyFont="1" applyFill="1" applyBorder="1"/>
    <xf numFmtId="0" fontId="12" fillId="20" borderId="36" xfId="0" applyFont="1" applyFill="1" applyBorder="1"/>
    <xf numFmtId="0" fontId="13" fillId="20" borderId="8" xfId="0" applyFont="1" applyFill="1" applyBorder="1"/>
    <xf numFmtId="0" fontId="13" fillId="20" borderId="51" xfId="0" applyFont="1" applyFill="1" applyBorder="1"/>
    <xf numFmtId="0" fontId="13" fillId="20" borderId="42" xfId="0" applyFont="1" applyFill="1" applyBorder="1"/>
    <xf numFmtId="0" fontId="21" fillId="20" borderId="0" xfId="0" applyFont="1" applyFill="1"/>
    <xf numFmtId="0" fontId="12" fillId="20" borderId="25" xfId="0" applyFont="1" applyFill="1" applyBorder="1"/>
    <xf numFmtId="0" fontId="12" fillId="20" borderId="9" xfId="0" applyFont="1" applyFill="1" applyBorder="1"/>
    <xf numFmtId="0" fontId="12" fillId="20" borderId="15" xfId="0" applyFont="1" applyFill="1" applyBorder="1"/>
    <xf numFmtId="0" fontId="12" fillId="20" borderId="2" xfId="0" applyFont="1" applyFill="1" applyBorder="1"/>
    <xf numFmtId="0" fontId="38" fillId="23" borderId="4" xfId="0" applyFont="1" applyFill="1" applyBorder="1" applyAlignment="1">
      <alignment vertical="center"/>
    </xf>
    <xf numFmtId="0" fontId="12" fillId="16" borderId="25" xfId="0" applyFont="1" applyFill="1" applyBorder="1"/>
    <xf numFmtId="0" fontId="4" fillId="7" borderId="17" xfId="0" applyFont="1" applyFill="1" applyBorder="1"/>
    <xf numFmtId="0" fontId="4" fillId="7" borderId="19" xfId="0" applyFont="1" applyFill="1" applyBorder="1"/>
    <xf numFmtId="0" fontId="0" fillId="7" borderId="51" xfId="0" applyFill="1" applyBorder="1"/>
    <xf numFmtId="0" fontId="0" fillId="7" borderId="52" xfId="0" applyFill="1" applyBorder="1"/>
    <xf numFmtId="0" fontId="0" fillId="7" borderId="45" xfId="0" applyFill="1" applyBorder="1"/>
    <xf numFmtId="0" fontId="0" fillId="7" borderId="46" xfId="0" applyFill="1" applyBorder="1"/>
    <xf numFmtId="0" fontId="0" fillId="7" borderId="54" xfId="0" applyFill="1" applyBorder="1"/>
    <xf numFmtId="0" fontId="0" fillId="7" borderId="40" xfId="0" applyFill="1" applyBorder="1"/>
    <xf numFmtId="0" fontId="4" fillId="7" borderId="9" xfId="0" applyFont="1" applyFill="1" applyBorder="1"/>
    <xf numFmtId="0" fontId="4" fillId="7" borderId="56" xfId="0" applyFont="1" applyFill="1" applyBorder="1"/>
    <xf numFmtId="0" fontId="4" fillId="7" borderId="45" xfId="0" applyFont="1" applyFill="1" applyBorder="1"/>
    <xf numFmtId="0" fontId="4" fillId="7" borderId="46" xfId="0" applyFont="1" applyFill="1" applyBorder="1"/>
    <xf numFmtId="0" fontId="4" fillId="7" borderId="10" xfId="0" applyFont="1" applyFill="1" applyBorder="1"/>
    <xf numFmtId="0" fontId="4" fillId="7" borderId="39" xfId="0" applyFont="1" applyFill="1" applyBorder="1"/>
    <xf numFmtId="0" fontId="0" fillId="7" borderId="8" xfId="0" applyFill="1" applyBorder="1"/>
    <xf numFmtId="0" fontId="0" fillId="7" borderId="49" xfId="0" applyFill="1" applyBorder="1"/>
    <xf numFmtId="0" fontId="0" fillId="7" borderId="7" xfId="0" applyFill="1" applyBorder="1"/>
    <xf numFmtId="0" fontId="0" fillId="7" borderId="34" xfId="0" applyFill="1" applyBorder="1"/>
    <xf numFmtId="0" fontId="0" fillId="7" borderId="36" xfId="0" applyFill="1" applyBorder="1"/>
    <xf numFmtId="0" fontId="0" fillId="7" borderId="37" xfId="0" applyFill="1" applyBorder="1"/>
    <xf numFmtId="0" fontId="4" fillId="7" borderId="8" xfId="0" applyFont="1" applyFill="1" applyBorder="1"/>
    <xf numFmtId="0" fontId="4" fillId="7" borderId="49" xfId="0" applyFont="1" applyFill="1" applyBorder="1"/>
    <xf numFmtId="0" fontId="4" fillId="7" borderId="51" xfId="0" applyFont="1" applyFill="1" applyBorder="1"/>
    <xf numFmtId="0" fontId="4" fillId="7" borderId="52" xfId="0" applyFont="1" applyFill="1" applyBorder="1"/>
    <xf numFmtId="0" fontId="4" fillId="7" borderId="42" xfId="0" applyFont="1" applyFill="1" applyBorder="1"/>
    <xf numFmtId="0" fontId="4" fillId="7" borderId="43" xfId="0" applyFont="1" applyFill="1" applyBorder="1"/>
    <xf numFmtId="0" fontId="0" fillId="7" borderId="10" xfId="0" applyFill="1" applyBorder="1"/>
    <xf numFmtId="0" fontId="0" fillId="7" borderId="39" xfId="0" applyFill="1" applyBorder="1"/>
    <xf numFmtId="0" fontId="0" fillId="7" borderId="9" xfId="0" applyFill="1" applyBorder="1"/>
    <xf numFmtId="0" fontId="0" fillId="7" borderId="56" xfId="0" applyFill="1" applyBorder="1"/>
    <xf numFmtId="0" fontId="0" fillId="7" borderId="2" xfId="0" applyFill="1" applyBorder="1"/>
    <xf numFmtId="167" fontId="4" fillId="18" borderId="31" xfId="0" applyNumberFormat="1" applyFont="1" applyFill="1" applyBorder="1"/>
    <xf numFmtId="0" fontId="4" fillId="18" borderId="1" xfId="0" applyFont="1" applyFill="1" applyBorder="1"/>
    <xf numFmtId="0" fontId="4" fillId="18" borderId="2" xfId="0" applyFont="1" applyFill="1" applyBorder="1"/>
    <xf numFmtId="0" fontId="4" fillId="18" borderId="7" xfId="0" applyFont="1" applyFill="1" applyBorder="1"/>
    <xf numFmtId="0" fontId="13" fillId="18" borderId="7" xfId="0" applyFont="1" applyFill="1" applyBorder="1"/>
    <xf numFmtId="0" fontId="13" fillId="18" borderId="2" xfId="0" applyFont="1" applyFill="1" applyBorder="1"/>
    <xf numFmtId="0" fontId="0" fillId="5" borderId="0" xfId="0" applyFill="1"/>
    <xf numFmtId="0" fontId="4" fillId="5" borderId="7" xfId="0" applyFont="1" applyFill="1" applyBorder="1"/>
    <xf numFmtId="0" fontId="4" fillId="5" borderId="14" xfId="0" applyFont="1" applyFill="1" applyBorder="1"/>
    <xf numFmtId="167" fontId="4" fillId="0" borderId="20" xfId="0" applyNumberFormat="1" applyFont="1" applyBorder="1"/>
    <xf numFmtId="0" fontId="0" fillId="22" borderId="15" xfId="0" applyFill="1" applyBorder="1"/>
    <xf numFmtId="0" fontId="0" fillId="9" borderId="0" xfId="0" applyFill="1"/>
    <xf numFmtId="0" fontId="0" fillId="8" borderId="15" xfId="0" applyFill="1" applyBorder="1"/>
    <xf numFmtId="0" fontId="12" fillId="16" borderId="0" xfId="0" applyFont="1" applyFill="1"/>
    <xf numFmtId="0" fontId="12" fillId="20" borderId="0" xfId="0" applyFont="1" applyFill="1"/>
    <xf numFmtId="0" fontId="0" fillId="7" borderId="0" xfId="0" applyFill="1"/>
    <xf numFmtId="0" fontId="0" fillId="7" borderId="15" xfId="0" applyFill="1" applyBorder="1"/>
    <xf numFmtId="0" fontId="4" fillId="22" borderId="54" xfId="0" applyFont="1" applyFill="1" applyBorder="1"/>
    <xf numFmtId="0" fontId="4" fillId="22" borderId="47" xfId="0" applyFont="1" applyFill="1" applyBorder="1"/>
    <xf numFmtId="0" fontId="4" fillId="9" borderId="36" xfId="0" applyFont="1" applyFill="1" applyBorder="1"/>
    <xf numFmtId="0" fontId="4" fillId="9" borderId="47" xfId="0" applyFont="1" applyFill="1" applyBorder="1"/>
    <xf numFmtId="0" fontId="4" fillId="8" borderId="54" xfId="0" applyFont="1" applyFill="1" applyBorder="1"/>
    <xf numFmtId="0" fontId="4" fillId="8" borderId="47" xfId="0" applyFont="1" applyFill="1" applyBorder="1"/>
    <xf numFmtId="0" fontId="13" fillId="16" borderId="36" xfId="0" applyFont="1" applyFill="1" applyBorder="1"/>
    <xf numFmtId="0" fontId="13" fillId="16" borderId="47" xfId="0" applyFont="1" applyFill="1" applyBorder="1"/>
    <xf numFmtId="0" fontId="4" fillId="5" borderId="36" xfId="0" applyFont="1" applyFill="1" applyBorder="1"/>
    <xf numFmtId="0" fontId="4" fillId="5" borderId="47" xfId="0" applyFont="1" applyFill="1" applyBorder="1"/>
    <xf numFmtId="0" fontId="13" fillId="20" borderId="36" xfId="0" applyFont="1" applyFill="1" applyBorder="1"/>
    <xf numFmtId="0" fontId="13" fillId="20" borderId="47" xfId="0" applyFont="1" applyFill="1" applyBorder="1"/>
    <xf numFmtId="0" fontId="4" fillId="7" borderId="36" xfId="0" applyFont="1" applyFill="1" applyBorder="1"/>
    <xf numFmtId="0" fontId="4" fillId="7" borderId="37" xfId="0" applyFont="1" applyFill="1" applyBorder="1"/>
    <xf numFmtId="0" fontId="0" fillId="0" borderId="2" xfId="0" applyBorder="1" applyAlignment="1">
      <alignment horizontal="center" vertical="center" wrapText="1"/>
    </xf>
    <xf numFmtId="0" fontId="4" fillId="22" borderId="14" xfId="0" applyFont="1" applyFill="1" applyBorder="1"/>
    <xf numFmtId="0" fontId="4" fillId="9" borderId="14" xfId="0" applyFont="1" applyFill="1" applyBorder="1"/>
    <xf numFmtId="0" fontId="4" fillId="8" borderId="14" xfId="0" applyFont="1" applyFill="1" applyBorder="1"/>
    <xf numFmtId="0" fontId="13" fillId="16" borderId="14" xfId="0" applyFont="1" applyFill="1" applyBorder="1"/>
    <xf numFmtId="0" fontId="13" fillId="20" borderId="14" xfId="0" applyFont="1" applyFill="1" applyBorder="1"/>
    <xf numFmtId="0" fontId="4" fillId="8" borderId="7" xfId="0" applyFont="1" applyFill="1" applyBorder="1"/>
    <xf numFmtId="0" fontId="4" fillId="0" borderId="2" xfId="0" applyFont="1" applyBorder="1"/>
    <xf numFmtId="0" fontId="0" fillId="0" borderId="1" xfId="0" applyBorder="1"/>
    <xf numFmtId="0" fontId="0" fillId="0" borderId="10" xfId="0" applyBorder="1"/>
    <xf numFmtId="0" fontId="4" fillId="0" borderId="7" xfId="0" applyFont="1" applyBorder="1"/>
    <xf numFmtId="0" fontId="21" fillId="0" borderId="8" xfId="0" applyFont="1" applyBorder="1"/>
    <xf numFmtId="0" fontId="4" fillId="0" borderId="8" xfId="0" applyFont="1" applyBorder="1"/>
    <xf numFmtId="14" fontId="0" fillId="0" borderId="7" xfId="0" applyNumberFormat="1" applyBorder="1" applyAlignment="1">
      <alignment horizontal="center" vertical="center"/>
    </xf>
    <xf numFmtId="0" fontId="0" fillId="0" borderId="10" xfId="0" applyBorder="1" applyAlignment="1">
      <alignment horizontal="center" vertical="center" wrapText="1"/>
    </xf>
    <xf numFmtId="0" fontId="0" fillId="14" borderId="0" xfId="0" applyFill="1" applyAlignment="1">
      <alignment vertical="center"/>
    </xf>
    <xf numFmtId="0" fontId="0" fillId="5" borderId="7" xfId="0" applyFill="1" applyBorder="1" applyAlignment="1">
      <alignment wrapText="1"/>
    </xf>
    <xf numFmtId="0" fontId="4" fillId="8" borderId="7" xfId="0" applyFont="1" applyFill="1" applyBorder="1" applyAlignment="1">
      <alignment wrapText="1"/>
    </xf>
    <xf numFmtId="0" fontId="0" fillId="9" borderId="24" xfId="0" applyFill="1" applyBorder="1"/>
    <xf numFmtId="0" fontId="0" fillId="8" borderId="24" xfId="0" applyFill="1" applyBorder="1"/>
    <xf numFmtId="0" fontId="12" fillId="16" borderId="24" xfId="0" applyFont="1" applyFill="1" applyBorder="1"/>
    <xf numFmtId="0" fontId="0" fillId="5" borderId="24" xfId="0" applyFill="1" applyBorder="1"/>
    <xf numFmtId="0" fontId="12" fillId="20" borderId="24" xfId="0" applyFont="1" applyFill="1" applyBorder="1"/>
    <xf numFmtId="0" fontId="4" fillId="10" borderId="7" xfId="0" applyFont="1" applyFill="1" applyBorder="1"/>
    <xf numFmtId="0" fontId="40" fillId="22" borderId="7" xfId="0" applyFont="1" applyFill="1" applyBorder="1"/>
    <xf numFmtId="0" fontId="4" fillId="22" borderId="7" xfId="0" applyFont="1" applyFill="1" applyBorder="1"/>
    <xf numFmtId="0" fontId="40" fillId="9" borderId="7" xfId="0" applyFont="1" applyFill="1" applyBorder="1"/>
    <xf numFmtId="0" fontId="4" fillId="9" borderId="7" xfId="0" applyFont="1" applyFill="1" applyBorder="1"/>
    <xf numFmtId="0" fontId="40" fillId="8" borderId="7" xfId="0" applyFont="1" applyFill="1" applyBorder="1"/>
    <xf numFmtId="0" fontId="40" fillId="16" borderId="7" xfId="0" applyFont="1" applyFill="1" applyBorder="1"/>
    <xf numFmtId="0" fontId="13" fillId="16" borderId="7" xfId="0" applyFont="1" applyFill="1" applyBorder="1"/>
    <xf numFmtId="0" fontId="40" fillId="5" borderId="7" xfId="0" applyFont="1" applyFill="1" applyBorder="1"/>
    <xf numFmtId="0" fontId="41" fillId="20" borderId="7" xfId="0" applyFont="1" applyFill="1" applyBorder="1"/>
    <xf numFmtId="0" fontId="13" fillId="20" borderId="7" xfId="0" applyFont="1" applyFill="1" applyBorder="1"/>
    <xf numFmtId="0" fontId="40" fillId="7" borderId="7" xfId="0" applyFont="1" applyFill="1" applyBorder="1"/>
    <xf numFmtId="0" fontId="4" fillId="7" borderId="7" xfId="0" applyFont="1" applyFill="1" applyBorder="1"/>
    <xf numFmtId="0" fontId="0" fillId="22" borderId="24" xfId="0" applyFill="1" applyBorder="1"/>
    <xf numFmtId="0" fontId="0" fillId="9" borderId="10" xfId="0" applyFill="1" applyBorder="1"/>
    <xf numFmtId="0" fontId="0" fillId="8" borderId="10" xfId="0" applyFill="1" applyBorder="1"/>
    <xf numFmtId="0" fontId="12" fillId="16" borderId="10" xfId="0" applyFont="1" applyFill="1" applyBorder="1"/>
    <xf numFmtId="0" fontId="0" fillId="5" borderId="10" xfId="0" applyFill="1" applyBorder="1"/>
    <xf numFmtId="0" fontId="12" fillId="20" borderId="10" xfId="0" applyFont="1" applyFill="1" applyBorder="1"/>
    <xf numFmtId="167" fontId="4" fillId="0" borderId="58" xfId="0" applyNumberFormat="1" applyFont="1" applyBorder="1"/>
    <xf numFmtId="0" fontId="0" fillId="0" borderId="8" xfId="0" applyBorder="1" applyAlignment="1">
      <alignment horizontal="center" vertical="center"/>
    </xf>
    <xf numFmtId="16" fontId="7" fillId="0" borderId="8" xfId="0" applyNumberFormat="1" applyFont="1" applyBorder="1" applyAlignment="1">
      <alignment horizontal="center" vertical="center" wrapText="1"/>
    </xf>
    <xf numFmtId="0" fontId="0" fillId="0" borderId="8" xfId="0" applyBorder="1" applyAlignment="1">
      <alignment vertical="top" wrapText="1"/>
    </xf>
    <xf numFmtId="14" fontId="0" fillId="0" borderId="10" xfId="0" applyNumberFormat="1" applyBorder="1" applyAlignment="1">
      <alignment horizontal="center" vertical="center"/>
    </xf>
    <xf numFmtId="0" fontId="0" fillId="0" borderId="10" xfId="0" applyBorder="1" applyAlignment="1">
      <alignment horizontal="center" vertical="center"/>
    </xf>
    <xf numFmtId="0" fontId="0" fillId="0" borderId="24" xfId="0" applyBorder="1" applyAlignment="1">
      <alignment horizontal="center" vertical="center"/>
    </xf>
    <xf numFmtId="0" fontId="0" fillId="13" borderId="7" xfId="0" applyFill="1" applyBorder="1"/>
    <xf numFmtId="0" fontId="0" fillId="13" borderId="7" xfId="0" applyFill="1" applyBorder="1" applyAlignment="1">
      <alignment horizontal="center" vertical="center"/>
    </xf>
    <xf numFmtId="0" fontId="0" fillId="13" borderId="7" xfId="0" applyFill="1" applyBorder="1" applyAlignment="1">
      <alignment horizontal="left" wrapText="1"/>
    </xf>
    <xf numFmtId="0" fontId="0" fillId="9" borderId="8" xfId="0" applyFill="1" applyBorder="1" applyAlignment="1">
      <alignment vertical="center"/>
    </xf>
    <xf numFmtId="0" fontId="0" fillId="9" borderId="14" xfId="0" applyFill="1" applyBorder="1" applyAlignment="1">
      <alignment horizontal="center" vertical="center"/>
    </xf>
    <xf numFmtId="0" fontId="36" fillId="19" borderId="27" xfId="0" applyFont="1" applyFill="1" applyBorder="1"/>
    <xf numFmtId="0" fontId="4" fillId="18" borderId="17" xfId="0" applyFont="1" applyFill="1" applyBorder="1"/>
    <xf numFmtId="0" fontId="13" fillId="15" borderId="10" xfId="0" applyFont="1" applyFill="1" applyBorder="1" applyAlignment="1">
      <alignment vertical="center"/>
    </xf>
    <xf numFmtId="0" fontId="22" fillId="15" borderId="10" xfId="0" applyFont="1" applyFill="1" applyBorder="1"/>
    <xf numFmtId="0" fontId="22" fillId="15" borderId="10" xfId="0" applyFont="1" applyFill="1" applyBorder="1" applyAlignment="1">
      <alignment horizontal="center" vertical="center"/>
    </xf>
    <xf numFmtId="0" fontId="0" fillId="10" borderId="25" xfId="0" applyFill="1" applyBorder="1"/>
    <xf numFmtId="0" fontId="4" fillId="10" borderId="25" xfId="0" applyFont="1" applyFill="1" applyBorder="1"/>
    <xf numFmtId="0" fontId="4" fillId="13" borderId="24" xfId="0" applyFont="1" applyFill="1" applyBorder="1"/>
    <xf numFmtId="0" fontId="4" fillId="13" borderId="25" xfId="0" applyFont="1" applyFill="1" applyBorder="1"/>
    <xf numFmtId="0" fontId="4" fillId="8" borderId="24" xfId="0" applyFont="1" applyFill="1" applyBorder="1"/>
    <xf numFmtId="0" fontId="4" fillId="8" borderId="25" xfId="0" applyFont="1" applyFill="1" applyBorder="1"/>
    <xf numFmtId="0" fontId="23" fillId="8" borderId="44" xfId="0" applyFont="1" applyFill="1" applyBorder="1" applyAlignment="1">
      <alignment vertical="center"/>
    </xf>
    <xf numFmtId="0" fontId="22" fillId="8" borderId="45" xfId="0" applyFont="1" applyFill="1" applyBorder="1"/>
    <xf numFmtId="0" fontId="22" fillId="8" borderId="45" xfId="0" applyFont="1" applyFill="1" applyBorder="1" applyAlignment="1">
      <alignment horizontal="center" vertical="center"/>
    </xf>
    <xf numFmtId="0" fontId="22" fillId="8" borderId="46" xfId="0" applyFont="1" applyFill="1" applyBorder="1"/>
    <xf numFmtId="167" fontId="0" fillId="0" borderId="20" xfId="0" applyNumberFormat="1" applyBorder="1"/>
    <xf numFmtId="167" fontId="4" fillId="0" borderId="31" xfId="0" applyNumberFormat="1" applyFont="1" applyBorder="1"/>
    <xf numFmtId="0" fontId="4" fillId="13" borderId="7" xfId="0" applyFont="1" applyFill="1" applyBorder="1" applyAlignment="1">
      <alignment horizontal="center" vertical="center"/>
    </xf>
    <xf numFmtId="0" fontId="12" fillId="9" borderId="2" xfId="0" applyFont="1" applyFill="1" applyBorder="1" applyAlignment="1">
      <alignment vertical="center" wrapText="1"/>
    </xf>
    <xf numFmtId="0" fontId="12" fillId="9" borderId="2" xfId="0" applyFont="1" applyFill="1" applyBorder="1" applyAlignment="1">
      <alignment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7" fillId="9" borderId="7" xfId="1" applyFont="1" applyFill="1" applyBorder="1" applyAlignment="1">
      <alignment horizontal="center" vertical="center" wrapText="1"/>
    </xf>
    <xf numFmtId="0" fontId="7" fillId="9" borderId="7" xfId="1" applyFont="1" applyFill="1" applyBorder="1" applyAlignment="1">
      <alignment horizontal="center" vertical="center"/>
    </xf>
    <xf numFmtId="0" fontId="7" fillId="9" borderId="7" xfId="0" applyFont="1" applyFill="1" applyBorder="1" applyAlignment="1">
      <alignment horizontal="center" vertical="center" wrapText="1"/>
    </xf>
    <xf numFmtId="0" fontId="7" fillId="9" borderId="2" xfId="0" applyFont="1" applyFill="1" applyBorder="1" applyAlignment="1">
      <alignment vertical="center"/>
    </xf>
    <xf numFmtId="0" fontId="0" fillId="9" borderId="2" xfId="0" applyFill="1" applyBorder="1" applyAlignment="1">
      <alignment vertical="center"/>
    </xf>
    <xf numFmtId="0" fontId="0" fillId="9" borderId="6" xfId="0" applyFill="1" applyBorder="1" applyAlignment="1">
      <alignment horizontal="center" vertical="center" wrapText="1"/>
    </xf>
    <xf numFmtId="0" fontId="15" fillId="6" borderId="22" xfId="0" applyFont="1" applyFill="1" applyBorder="1" applyAlignment="1">
      <alignment vertical="center"/>
    </xf>
    <xf numFmtId="0" fontId="7" fillId="10" borderId="2" xfId="0" applyFont="1" applyFill="1" applyBorder="1" applyAlignment="1">
      <alignment vertical="center"/>
    </xf>
    <xf numFmtId="0" fontId="0" fillId="10" borderId="25" xfId="0" applyFill="1" applyBorder="1" applyAlignment="1">
      <alignment horizontal="center" vertical="center"/>
    </xf>
    <xf numFmtId="0" fontId="4" fillId="4" borderId="9" xfId="0" applyFont="1" applyFill="1" applyBorder="1" applyAlignment="1">
      <alignment horizontal="center"/>
    </xf>
    <xf numFmtId="0" fontId="4" fillId="4" borderId="9" xfId="0" applyFont="1" applyFill="1" applyBorder="1" applyAlignment="1">
      <alignment horizontal="center" vertical="center"/>
    </xf>
    <xf numFmtId="0" fontId="3" fillId="9" borderId="7" xfId="1" applyFill="1" applyBorder="1" applyAlignment="1">
      <alignment horizontal="center" vertical="center" wrapText="1"/>
    </xf>
    <xf numFmtId="0" fontId="0" fillId="9" borderId="9" xfId="0" applyFill="1" applyBorder="1" applyAlignment="1">
      <alignment wrapText="1"/>
    </xf>
    <xf numFmtId="0" fontId="0" fillId="9" borderId="15" xfId="0" applyFill="1" applyBorder="1" applyAlignment="1">
      <alignment horizontal="center" vertical="center"/>
    </xf>
    <xf numFmtId="0" fontId="28" fillId="9" borderId="1" xfId="0" applyFont="1" applyFill="1" applyBorder="1" applyAlignment="1">
      <alignment horizontal="center" vertical="center"/>
    </xf>
    <xf numFmtId="0" fontId="4" fillId="9" borderId="1" xfId="0" applyFont="1" applyFill="1" applyBorder="1" applyAlignment="1">
      <alignment horizontal="center" vertical="center"/>
    </xf>
    <xf numFmtId="0" fontId="0" fillId="9" borderId="0" xfId="0" applyFill="1" applyAlignment="1">
      <alignment horizontal="center" vertical="center" wrapText="1"/>
    </xf>
    <xf numFmtId="0" fontId="42" fillId="10" borderId="1" xfId="0" applyFont="1" applyFill="1" applyBorder="1" applyAlignment="1">
      <alignment horizontal="center" vertical="center"/>
    </xf>
    <xf numFmtId="0" fontId="4" fillId="9" borderId="8" xfId="0" applyFont="1" applyFill="1" applyBorder="1" applyAlignment="1">
      <alignment horizontal="center" vertical="center" wrapText="1"/>
    </xf>
    <xf numFmtId="0" fontId="0" fillId="22" borderId="42" xfId="0" applyFill="1" applyBorder="1"/>
    <xf numFmtId="0" fontId="40" fillId="22" borderId="10" xfId="0" applyFont="1" applyFill="1" applyBorder="1"/>
    <xf numFmtId="0" fontId="4" fillId="22" borderId="24" xfId="0" applyFont="1" applyFill="1" applyBorder="1"/>
    <xf numFmtId="0" fontId="40" fillId="9" borderId="10" xfId="0" applyFont="1" applyFill="1" applyBorder="1"/>
    <xf numFmtId="0" fontId="40" fillId="8" borderId="10" xfId="0" applyFont="1" applyFill="1" applyBorder="1"/>
    <xf numFmtId="0" fontId="40" fillId="16" borderId="10" xfId="0" applyFont="1" applyFill="1" applyBorder="1"/>
    <xf numFmtId="0" fontId="13" fillId="16" borderId="24" xfId="0" applyFont="1" applyFill="1" applyBorder="1"/>
    <xf numFmtId="0" fontId="40" fillId="5" borderId="10" xfId="0" applyFont="1" applyFill="1" applyBorder="1"/>
    <xf numFmtId="0" fontId="4" fillId="5" borderId="24" xfId="0" applyFont="1" applyFill="1" applyBorder="1"/>
    <xf numFmtId="0" fontId="41" fillId="20" borderId="10" xfId="0" applyFont="1" applyFill="1" applyBorder="1"/>
    <xf numFmtId="0" fontId="13" fillId="20" borderId="24" xfId="0" applyFont="1" applyFill="1" applyBorder="1"/>
    <xf numFmtId="0" fontId="40" fillId="7" borderId="10" xfId="0" applyFont="1" applyFill="1" applyBorder="1"/>
    <xf numFmtId="0" fontId="0" fillId="9" borderId="7" xfId="0" applyFill="1" applyBorder="1" applyAlignment="1">
      <alignment vertical="center" wrapText="1"/>
    </xf>
    <xf numFmtId="0" fontId="0" fillId="9" borderId="8" xfId="0" applyFill="1" applyBorder="1" applyAlignment="1">
      <alignment vertical="center" wrapText="1"/>
    </xf>
    <xf numFmtId="0" fontId="19" fillId="9" borderId="7" xfId="0" applyFont="1" applyFill="1" applyBorder="1" applyAlignment="1">
      <alignment vertical="center" wrapText="1"/>
    </xf>
    <xf numFmtId="0" fontId="0" fillId="9" borderId="2" xfId="0" applyFill="1" applyBorder="1" applyAlignment="1">
      <alignment vertical="center" wrapText="1"/>
    </xf>
    <xf numFmtId="0" fontId="0" fillId="9" borderId="24" xfId="0" applyFill="1" applyBorder="1" applyAlignment="1">
      <alignment horizontal="center" vertical="center"/>
    </xf>
    <xf numFmtId="0" fontId="7" fillId="10" borderId="24" xfId="0" applyFont="1" applyFill="1" applyBorder="1" applyAlignment="1">
      <alignment horizontal="left" vertical="center" wrapText="1"/>
    </xf>
    <xf numFmtId="0" fontId="7" fillId="9" borderId="7" xfId="0" applyFont="1" applyFill="1" applyBorder="1" applyAlignment="1">
      <alignment horizontal="left" vertical="center" wrapText="1"/>
    </xf>
    <xf numFmtId="0" fontId="7" fillId="10" borderId="14" xfId="0" applyFont="1" applyFill="1" applyBorder="1" applyAlignment="1">
      <alignment vertical="center"/>
    </xf>
    <xf numFmtId="0" fontId="12" fillId="9" borderId="10" xfId="0" applyFont="1" applyFill="1" applyBorder="1" applyAlignment="1">
      <alignment horizontal="left" vertical="center" wrapText="1"/>
    </xf>
    <xf numFmtId="0" fontId="0" fillId="10" borderId="31" xfId="0" applyFill="1" applyBorder="1" applyAlignment="1">
      <alignment horizontal="center" vertical="center" wrapText="1"/>
    </xf>
    <xf numFmtId="0" fontId="0" fillId="9" borderId="12" xfId="0" applyFill="1" applyBorder="1" applyAlignment="1">
      <alignment horizontal="center" vertical="center" wrapText="1"/>
    </xf>
    <xf numFmtId="0" fontId="0" fillId="9" borderId="25" xfId="0" applyFill="1" applyBorder="1" applyAlignment="1">
      <alignment horizontal="center" vertical="center"/>
    </xf>
    <xf numFmtId="0" fontId="3" fillId="9" borderId="8" xfId="1" applyFill="1" applyBorder="1" applyAlignment="1">
      <alignment horizontal="center" vertical="center"/>
    </xf>
    <xf numFmtId="0" fontId="43" fillId="10" borderId="7" xfId="1" applyFont="1" applyFill="1" applyBorder="1" applyAlignment="1">
      <alignment horizontal="center" vertical="center"/>
    </xf>
    <xf numFmtId="0" fontId="0" fillId="10" borderId="2" xfId="0" applyFill="1" applyBorder="1" applyAlignment="1">
      <alignment vertical="center" wrapText="1"/>
    </xf>
    <xf numFmtId="0" fontId="44" fillId="10" borderId="9" xfId="0" applyFont="1" applyFill="1" applyBorder="1"/>
    <xf numFmtId="0" fontId="44" fillId="10" borderId="45" xfId="0" applyFont="1" applyFill="1" applyBorder="1"/>
    <xf numFmtId="0" fontId="44" fillId="10" borderId="10" xfId="0" applyFont="1" applyFill="1" applyBorder="1"/>
    <xf numFmtId="0" fontId="45" fillId="10" borderId="8" xfId="0" applyFont="1" applyFill="1" applyBorder="1"/>
    <xf numFmtId="0" fontId="45" fillId="10" borderId="45" xfId="0" applyFont="1" applyFill="1" applyBorder="1"/>
    <xf numFmtId="0" fontId="45" fillId="10" borderId="7" xfId="0" applyFont="1" applyFill="1" applyBorder="1"/>
    <xf numFmtId="0" fontId="45" fillId="10" borderId="36" xfId="0" applyFont="1" applyFill="1" applyBorder="1"/>
    <xf numFmtId="0" fontId="44" fillId="10" borderId="8" xfId="0" applyFont="1" applyFill="1" applyBorder="1"/>
    <xf numFmtId="0" fontId="44" fillId="10" borderId="51" xfId="0" applyFont="1" applyFill="1" applyBorder="1"/>
    <xf numFmtId="0" fontId="44" fillId="10" borderId="42" xfId="0" applyFont="1" applyFill="1" applyBorder="1"/>
    <xf numFmtId="0" fontId="45" fillId="10" borderId="10" xfId="0" applyFont="1" applyFill="1" applyBorder="1"/>
    <xf numFmtId="0" fontId="45" fillId="10" borderId="24" xfId="0" applyFont="1" applyFill="1" applyBorder="1"/>
    <xf numFmtId="0" fontId="45" fillId="10" borderId="9" xfId="0" applyFont="1" applyFill="1" applyBorder="1"/>
    <xf numFmtId="0" fontId="45" fillId="10" borderId="15" xfId="0" applyFont="1" applyFill="1" applyBorder="1"/>
    <xf numFmtId="0" fontId="45" fillId="10" borderId="2" xfId="0" applyFont="1" applyFill="1" applyBorder="1"/>
    <xf numFmtId="0" fontId="44" fillId="10" borderId="36" xfId="0" applyFont="1" applyFill="1" applyBorder="1"/>
    <xf numFmtId="0" fontId="44" fillId="10" borderId="47" xfId="0" applyFont="1" applyFill="1" applyBorder="1"/>
    <xf numFmtId="0" fontId="44" fillId="10" borderId="14" xfId="0" applyFont="1" applyFill="1" applyBorder="1"/>
    <xf numFmtId="0" fontId="44" fillId="10" borderId="7" xfId="0" applyFont="1" applyFill="1" applyBorder="1"/>
    <xf numFmtId="0" fontId="44" fillId="10" borderId="59" xfId="0" applyFont="1" applyFill="1" applyBorder="1"/>
    <xf numFmtId="0" fontId="44" fillId="10" borderId="24" xfId="0" applyFont="1" applyFill="1" applyBorder="1"/>
    <xf numFmtId="0" fontId="8" fillId="3" borderId="60" xfId="0" applyFont="1" applyFill="1" applyBorder="1" applyAlignment="1">
      <alignment horizontal="center" vertical="center"/>
    </xf>
    <xf numFmtId="0" fontId="8" fillId="3" borderId="0" xfId="0" applyFont="1" applyFill="1" applyAlignment="1">
      <alignment horizontal="center" vertical="center"/>
    </xf>
    <xf numFmtId="0" fontId="32" fillId="20" borderId="20" xfId="0" applyFont="1" applyFill="1" applyBorder="1" applyAlignment="1">
      <alignment horizontal="center" vertical="center"/>
    </xf>
    <xf numFmtId="0" fontId="33" fillId="20" borderId="17" xfId="1" applyFont="1" applyFill="1" applyBorder="1" applyAlignment="1">
      <alignment horizontal="center" vertical="center"/>
    </xf>
    <xf numFmtId="0" fontId="33" fillId="20" borderId="27" xfId="1" applyFont="1" applyFill="1" applyBorder="1" applyAlignment="1">
      <alignment horizontal="center" vertical="center" wrapText="1"/>
    </xf>
    <xf numFmtId="0" fontId="12" fillId="9" borderId="9" xfId="0" applyFont="1" applyFill="1" applyBorder="1" applyAlignment="1">
      <alignment vertical="center"/>
    </xf>
    <xf numFmtId="0" fontId="0" fillId="9" borderId="15" xfId="0" applyFill="1" applyBorder="1" applyAlignment="1">
      <alignment wrapText="1"/>
    </xf>
    <xf numFmtId="0" fontId="0" fillId="6" borderId="7" xfId="0" applyFill="1" applyBorder="1" applyAlignment="1">
      <alignment vertical="center"/>
    </xf>
    <xf numFmtId="0" fontId="0" fillId="9" borderId="24" xfId="0" applyFill="1" applyBorder="1" applyAlignment="1">
      <alignment vertical="center"/>
    </xf>
    <xf numFmtId="0" fontId="14" fillId="9" borderId="14" xfId="0" applyFont="1" applyFill="1" applyBorder="1" applyAlignment="1">
      <alignment vertical="center" wrapText="1"/>
    </xf>
    <xf numFmtId="0" fontId="0" fillId="9" borderId="1" xfId="0" applyFill="1" applyBorder="1" applyAlignment="1">
      <alignment horizontal="center" vertical="center"/>
    </xf>
    <xf numFmtId="0" fontId="3" fillId="9" borderId="25" xfId="1" applyFill="1" applyBorder="1" applyAlignment="1">
      <alignment horizontal="center" vertical="center"/>
    </xf>
    <xf numFmtId="0" fontId="0" fillId="9" borderId="12" xfId="0" applyFill="1" applyBorder="1" applyAlignment="1">
      <alignment horizontal="center" vertical="center"/>
    </xf>
    <xf numFmtId="0" fontId="43" fillId="10" borderId="8" xfId="1" applyFont="1" applyFill="1" applyBorder="1" applyAlignment="1">
      <alignment horizontal="center" vertical="center"/>
    </xf>
    <xf numFmtId="0" fontId="5" fillId="9" borderId="10" xfId="0" applyFont="1" applyFill="1" applyBorder="1" applyAlignment="1">
      <alignment horizontal="center" vertical="center"/>
    </xf>
    <xf numFmtId="0" fontId="3" fillId="9" borderId="14" xfId="1" applyFill="1" applyBorder="1" applyAlignment="1">
      <alignment horizontal="center" vertical="center"/>
    </xf>
    <xf numFmtId="0" fontId="4" fillId="10" borderId="10" xfId="0" applyFont="1" applyFill="1" applyBorder="1"/>
    <xf numFmtId="0" fontId="4" fillId="10" borderId="24" xfId="0" applyFont="1" applyFill="1" applyBorder="1"/>
    <xf numFmtId="0" fontId="0" fillId="9" borderId="2" xfId="0" applyFill="1" applyBorder="1" applyAlignment="1">
      <alignment wrapText="1"/>
    </xf>
    <xf numFmtId="0" fontId="4" fillId="9" borderId="8" xfId="0" applyFont="1" applyFill="1" applyBorder="1" applyAlignment="1">
      <alignment horizontal="center" vertical="center"/>
    </xf>
    <xf numFmtId="0" fontId="11" fillId="10" borderId="10" xfId="0" applyFont="1" applyFill="1" applyBorder="1" applyAlignment="1">
      <alignment horizontal="center" vertical="center"/>
    </xf>
    <xf numFmtId="0" fontId="0" fillId="9" borderId="0" xfId="0" applyFill="1" applyAlignment="1">
      <alignment horizontal="center" vertical="center"/>
    </xf>
    <xf numFmtId="0" fontId="0" fillId="9" borderId="8" xfId="0" applyFill="1" applyBorder="1" applyAlignment="1">
      <alignment horizontal="center" vertical="center" wrapText="1"/>
    </xf>
    <xf numFmtId="0" fontId="0" fillId="8" borderId="2" xfId="0" applyFill="1" applyBorder="1" applyAlignment="1">
      <alignment horizontal="center"/>
    </xf>
    <xf numFmtId="0" fontId="0" fillId="0" borderId="7" xfId="0" applyBorder="1" applyAlignment="1">
      <alignment horizontal="left" vertical="top"/>
    </xf>
    <xf numFmtId="0" fontId="0" fillId="0" borderId="14" xfId="0" applyBorder="1" applyAlignment="1">
      <alignment horizontal="center" vertical="center" wrapText="1"/>
    </xf>
    <xf numFmtId="0" fontId="0" fillId="13" borderId="2" xfId="0" applyFill="1" applyBorder="1" applyAlignment="1">
      <alignment wrapText="1"/>
    </xf>
    <xf numFmtId="0" fontId="0" fillId="0" borderId="24" xfId="0" applyBorder="1" applyAlignment="1">
      <alignment wrapText="1"/>
    </xf>
    <xf numFmtId="0" fontId="3" fillId="9" borderId="8" xfId="1" applyFill="1" applyBorder="1" applyAlignment="1">
      <alignment horizontal="center" vertical="center" wrapText="1"/>
    </xf>
    <xf numFmtId="0" fontId="0" fillId="9" borderId="13" xfId="0" applyFill="1" applyBorder="1" applyAlignment="1">
      <alignment horizontal="center" vertical="center" wrapText="1"/>
    </xf>
    <xf numFmtId="0" fontId="0" fillId="9" borderId="10" xfId="0" applyFill="1" applyBorder="1" applyAlignment="1">
      <alignment horizontal="center" vertical="center"/>
    </xf>
    <xf numFmtId="0" fontId="12" fillId="9" borderId="7" xfId="1" applyFont="1" applyFill="1" applyBorder="1" applyAlignment="1">
      <alignment horizontal="center" vertical="center" wrapText="1"/>
    </xf>
    <xf numFmtId="0" fontId="0" fillId="9" borderId="10" xfId="0" applyFill="1" applyBorder="1" applyAlignment="1">
      <alignment vertical="center"/>
    </xf>
    <xf numFmtId="0" fontId="3" fillId="9" borderId="13" xfId="1" applyFill="1" applyBorder="1" applyAlignment="1">
      <alignment horizontal="center" vertical="center"/>
    </xf>
    <xf numFmtId="0" fontId="7" fillId="9" borderId="8" xfId="0" applyFont="1" applyFill="1" applyBorder="1" applyAlignment="1">
      <alignment vertical="center"/>
    </xf>
    <xf numFmtId="0" fontId="7" fillId="9" borderId="10" xfId="0" applyFont="1" applyFill="1" applyBorder="1" applyAlignment="1">
      <alignment vertical="center"/>
    </xf>
    <xf numFmtId="0" fontId="7" fillId="0" borderId="2" xfId="0" applyFont="1" applyBorder="1" applyAlignment="1">
      <alignment vertical="center"/>
    </xf>
    <xf numFmtId="0" fontId="3" fillId="0" borderId="0" xfId="1" applyFill="1" applyAlignment="1">
      <alignment horizontal="center" vertical="center"/>
    </xf>
    <xf numFmtId="0" fontId="7" fillId="9" borderId="9" xfId="0" applyFont="1" applyFill="1" applyBorder="1" applyAlignment="1">
      <alignment vertical="center"/>
    </xf>
    <xf numFmtId="0" fontId="0" fillId="13" borderId="7" xfId="0" applyFill="1" applyBorder="1" applyAlignment="1">
      <alignment horizontal="center" wrapText="1"/>
    </xf>
    <xf numFmtId="0" fontId="49" fillId="10" borderId="10" xfId="0" applyFont="1" applyFill="1" applyBorder="1"/>
    <xf numFmtId="0" fontId="49" fillId="10" borderId="24" xfId="0" applyFont="1" applyFill="1" applyBorder="1"/>
    <xf numFmtId="0" fontId="47" fillId="9" borderId="0" xfId="0" applyFont="1" applyFill="1" applyAlignment="1">
      <alignment wrapText="1"/>
    </xf>
    <xf numFmtId="0" fontId="3" fillId="9" borderId="6" xfId="1" applyFill="1" applyBorder="1" applyAlignment="1">
      <alignment horizontal="center" vertical="center"/>
    </xf>
    <xf numFmtId="0" fontId="3" fillId="20" borderId="14" xfId="1" applyFill="1" applyBorder="1" applyAlignment="1">
      <alignment horizontal="center" vertical="center" wrapText="1"/>
    </xf>
    <xf numFmtId="0" fontId="7" fillId="9" borderId="7" xfId="0" applyFont="1" applyFill="1" applyBorder="1" applyAlignment="1">
      <alignment vertical="center" wrapText="1"/>
    </xf>
    <xf numFmtId="0" fontId="0" fillId="9" borderId="8" xfId="0" applyFill="1" applyBorder="1" applyAlignment="1">
      <alignment horizontal="center" vertical="center"/>
    </xf>
    <xf numFmtId="0" fontId="7" fillId="9" borderId="8" xfId="1" applyFont="1" applyFill="1" applyBorder="1" applyAlignment="1">
      <alignment horizontal="center" vertical="center"/>
    </xf>
    <xf numFmtId="0" fontId="5" fillId="6" borderId="12" xfId="0" applyFont="1" applyFill="1" applyBorder="1" applyAlignment="1">
      <alignment vertical="center" wrapText="1"/>
    </xf>
    <xf numFmtId="0" fontId="4" fillId="6" borderId="9" xfId="0" applyFont="1" applyFill="1" applyBorder="1"/>
    <xf numFmtId="0" fontId="5" fillId="6" borderId="25" xfId="0" applyFont="1" applyFill="1" applyBorder="1" applyAlignment="1">
      <alignment vertical="center"/>
    </xf>
    <xf numFmtId="0" fontId="0" fillId="0" borderId="1" xfId="0" applyBorder="1" applyAlignment="1">
      <alignment horizontal="center" vertical="center"/>
    </xf>
    <xf numFmtId="0" fontId="0" fillId="6" borderId="8" xfId="0" applyFill="1" applyBorder="1" applyAlignment="1">
      <alignment horizontal="center" vertical="center"/>
    </xf>
    <xf numFmtId="0" fontId="4" fillId="6" borderId="0" xfId="0" applyFont="1" applyFill="1"/>
    <xf numFmtId="0" fontId="5" fillId="6" borderId="0" xfId="0" applyFont="1" applyFill="1" applyAlignment="1">
      <alignment vertical="center"/>
    </xf>
    <xf numFmtId="14" fontId="50" fillId="6" borderId="7" xfId="0" applyNumberFormat="1" applyFont="1" applyFill="1" applyBorder="1" applyAlignment="1">
      <alignment horizontal="center" vertical="center"/>
    </xf>
    <xf numFmtId="0" fontId="21" fillId="0" borderId="7" xfId="0" applyFont="1" applyBorder="1" applyAlignment="1">
      <alignment wrapText="1"/>
    </xf>
    <xf numFmtId="0" fontId="7" fillId="0" borderId="15" xfId="0" applyFont="1" applyBorder="1" applyAlignment="1">
      <alignment horizontal="center" vertical="center" wrapText="1"/>
    </xf>
    <xf numFmtId="0" fontId="3" fillId="9" borderId="2" xfId="1" applyFill="1" applyBorder="1" applyAlignment="1">
      <alignment horizontal="center" vertical="center"/>
    </xf>
    <xf numFmtId="0" fontId="0" fillId="9" borderId="7" xfId="0" applyFill="1" applyBorder="1" applyAlignment="1">
      <alignment horizontal="center" vertical="center" wrapText="1"/>
    </xf>
    <xf numFmtId="0" fontId="0" fillId="20" borderId="7" xfId="0" applyFill="1" applyBorder="1" applyAlignment="1">
      <alignment horizontal="center" vertical="center" wrapText="1"/>
    </xf>
    <xf numFmtId="0" fontId="3" fillId="9" borderId="1" xfId="1" applyFill="1" applyBorder="1" applyAlignment="1">
      <alignment horizontal="center" vertical="center" wrapText="1"/>
    </xf>
    <xf numFmtId="0" fontId="12" fillId="9" borderId="1" xfId="1" applyFont="1" applyFill="1" applyBorder="1" applyAlignment="1">
      <alignment horizontal="center" vertical="center" wrapText="1"/>
    </xf>
    <xf numFmtId="0" fontId="5" fillId="0" borderId="6" xfId="0" applyFont="1" applyBorder="1" applyAlignment="1">
      <alignment vertical="center"/>
    </xf>
    <xf numFmtId="0" fontId="7" fillId="9" borderId="14" xfId="0" applyFont="1" applyFill="1" applyBorder="1" applyAlignment="1">
      <alignment vertical="center" wrapText="1"/>
    </xf>
    <xf numFmtId="0" fontId="7" fillId="9" borderId="15" xfId="0" applyFont="1" applyFill="1" applyBorder="1" applyAlignment="1">
      <alignment vertical="center" wrapText="1"/>
    </xf>
    <xf numFmtId="0" fontId="3" fillId="9" borderId="9" xfId="1" applyFill="1" applyBorder="1" applyAlignment="1">
      <alignment horizontal="center" vertical="center" wrapText="1"/>
    </xf>
    <xf numFmtId="0" fontId="0" fillId="20" borderId="8" xfId="0" applyFill="1" applyBorder="1" applyAlignment="1">
      <alignment vertical="center"/>
    </xf>
    <xf numFmtId="0" fontId="0" fillId="24" borderId="25" xfId="0" applyFill="1" applyBorder="1" applyAlignment="1">
      <alignment horizontal="center" vertical="center"/>
    </xf>
    <xf numFmtId="0" fontId="34" fillId="0" borderId="21" xfId="0" applyFont="1" applyBorder="1"/>
    <xf numFmtId="0" fontId="15" fillId="13" borderId="22" xfId="0" applyFont="1" applyFill="1" applyBorder="1"/>
    <xf numFmtId="0" fontId="15" fillId="25" borderId="22" xfId="0" applyFont="1" applyFill="1" applyBorder="1"/>
    <xf numFmtId="0" fontId="51" fillId="24" borderId="23" xfId="0" applyFont="1" applyFill="1" applyBorder="1" applyAlignment="1">
      <alignment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0" fillId="24" borderId="7" xfId="0" applyFill="1" applyBorder="1" applyAlignment="1">
      <alignment horizontal="center" vertical="center"/>
    </xf>
    <xf numFmtId="0" fontId="0" fillId="9" borderId="1" xfId="0" applyFill="1" applyBorder="1" applyAlignment="1">
      <alignment horizontal="center" vertical="center" wrapText="1"/>
    </xf>
    <xf numFmtId="0" fontId="3" fillId="20" borderId="7" xfId="1" applyFill="1" applyBorder="1" applyAlignment="1">
      <alignment horizontal="center" vertical="center"/>
    </xf>
    <xf numFmtId="0" fontId="7" fillId="6" borderId="7" xfId="0" applyFont="1" applyFill="1" applyBorder="1" applyAlignment="1">
      <alignment vertical="center" wrapText="1"/>
    </xf>
    <xf numFmtId="0" fontId="3" fillId="6" borderId="7" xfId="1" applyFill="1" applyBorder="1" applyAlignment="1">
      <alignment horizontal="center" vertical="center"/>
    </xf>
    <xf numFmtId="0" fontId="3" fillId="6" borderId="7" xfId="1" applyFill="1" applyBorder="1" applyAlignment="1">
      <alignment horizontal="center" vertical="center" wrapText="1"/>
    </xf>
    <xf numFmtId="0" fontId="0" fillId="6" borderId="7" xfId="0" applyFill="1" applyBorder="1" applyAlignment="1">
      <alignment horizontal="center" vertical="center"/>
    </xf>
    <xf numFmtId="0" fontId="0" fillId="6" borderId="8" xfId="0" applyFill="1" applyBorder="1" applyAlignment="1">
      <alignment vertical="center"/>
    </xf>
    <xf numFmtId="0" fontId="7" fillId="6" borderId="14" xfId="0" applyFont="1" applyFill="1" applyBorder="1" applyAlignment="1">
      <alignment vertical="center" wrapText="1"/>
    </xf>
    <xf numFmtId="0" fontId="3" fillId="6" borderId="14" xfId="1" applyFill="1" applyBorder="1" applyAlignment="1">
      <alignment horizontal="center" vertical="center"/>
    </xf>
    <xf numFmtId="0" fontId="3" fillId="6" borderId="14" xfId="1" applyFill="1" applyBorder="1" applyAlignment="1">
      <alignment horizontal="center" vertical="center" wrapText="1"/>
    </xf>
    <xf numFmtId="0" fontId="0" fillId="20" borderId="7" xfId="0" applyFill="1" applyBorder="1" applyAlignment="1">
      <alignment wrapText="1"/>
    </xf>
    <xf numFmtId="0" fontId="0" fillId="20" borderId="7" xfId="0" applyFill="1" applyBorder="1" applyAlignment="1">
      <alignment horizontal="center" vertical="center"/>
    </xf>
    <xf numFmtId="0" fontId="0" fillId="8" borderId="10" xfId="0" applyFill="1" applyBorder="1" applyAlignment="1">
      <alignment horizontal="center" vertical="center"/>
    </xf>
    <xf numFmtId="0" fontId="7" fillId="0" borderId="7" xfId="0" applyFont="1" applyBorder="1" applyAlignment="1">
      <alignment vertical="center"/>
    </xf>
    <xf numFmtId="0" fontId="7" fillId="20" borderId="14" xfId="0" applyFont="1" applyFill="1" applyBorder="1" applyAlignment="1">
      <alignment vertical="center" wrapText="1"/>
    </xf>
    <xf numFmtId="0" fontId="3" fillId="20" borderId="14" xfId="1" applyFill="1" applyBorder="1" applyAlignment="1">
      <alignment horizontal="center" vertical="center"/>
    </xf>
    <xf numFmtId="0" fontId="0" fillId="20" borderId="8" xfId="0" applyFill="1" applyBorder="1" applyAlignment="1">
      <alignment horizontal="center" vertical="center"/>
    </xf>
    <xf numFmtId="0" fontId="12" fillId="9" borderId="8" xfId="0" applyFont="1" applyFill="1" applyBorder="1" applyAlignment="1">
      <alignment vertical="center"/>
    </xf>
    <xf numFmtId="0" fontId="52" fillId="9" borderId="14" xfId="1" applyFont="1" applyFill="1" applyBorder="1" applyAlignment="1">
      <alignment horizontal="center" vertical="center" wrapText="1"/>
    </xf>
    <xf numFmtId="0" fontId="12" fillId="9" borderId="8" xfId="0" applyFont="1" applyFill="1" applyBorder="1" applyAlignment="1">
      <alignment horizontal="center" vertical="center"/>
    </xf>
    <xf numFmtId="0" fontId="7" fillId="9" borderId="14" xfId="1" applyFont="1" applyFill="1" applyBorder="1" applyAlignment="1">
      <alignment horizontal="center" vertical="center"/>
    </xf>
    <xf numFmtId="0" fontId="0" fillId="20" borderId="8" xfId="0" applyFill="1" applyBorder="1" applyAlignment="1">
      <alignment horizontal="center" vertical="center" wrapText="1"/>
    </xf>
    <xf numFmtId="0" fontId="3" fillId="9" borderId="15" xfId="1" applyFill="1" applyBorder="1" applyAlignment="1">
      <alignment horizontal="center" vertical="center"/>
    </xf>
    <xf numFmtId="0" fontId="5" fillId="20" borderId="7" xfId="0" applyFont="1" applyFill="1" applyBorder="1" applyAlignment="1">
      <alignment vertical="center"/>
    </xf>
    <xf numFmtId="0" fontId="7" fillId="20" borderId="7" xfId="0" applyFont="1" applyFill="1" applyBorder="1" applyAlignment="1">
      <alignment wrapText="1"/>
    </xf>
    <xf numFmtId="0" fontId="7" fillId="20" borderId="2" xfId="0" applyFont="1" applyFill="1" applyBorder="1" applyAlignment="1">
      <alignment horizontal="center" vertical="center"/>
    </xf>
    <xf numFmtId="0" fontId="34" fillId="0" borderId="0" xfId="0" applyFont="1"/>
    <xf numFmtId="14" fontId="34" fillId="0" borderId="0" xfId="0" applyNumberFormat="1" applyFont="1" applyAlignment="1">
      <alignment horizontal="center"/>
    </xf>
    <xf numFmtId="14" fontId="0" fillId="0" borderId="2" xfId="0" applyNumberFormat="1" applyBorder="1" applyAlignment="1">
      <alignment horizontal="center" vertical="center"/>
    </xf>
    <xf numFmtId="0" fontId="0" fillId="0" borderId="14" xfId="0" applyBorder="1"/>
    <xf numFmtId="0" fontId="21" fillId="0" borderId="7" xfId="0" applyFont="1" applyBorder="1"/>
    <xf numFmtId="0" fontId="0" fillId="0" borderId="13" xfId="0" applyBorder="1" applyAlignment="1">
      <alignment horizontal="center" vertical="center"/>
    </xf>
    <xf numFmtId="0" fontId="0" fillId="0" borderId="9" xfId="0" applyBorder="1"/>
    <xf numFmtId="0" fontId="0" fillId="0" borderId="24" xfId="0" applyBorder="1"/>
    <xf numFmtId="0" fontId="5" fillId="9" borderId="7" xfId="0" applyFont="1" applyFill="1" applyBorder="1" applyAlignment="1">
      <alignment horizontal="left" vertical="center" wrapText="1"/>
    </xf>
    <xf numFmtId="0" fontId="9" fillId="9" borderId="7" xfId="1" applyFont="1" applyFill="1" applyBorder="1" applyAlignment="1">
      <alignment horizontal="center" vertical="center"/>
    </xf>
    <xf numFmtId="0" fontId="2" fillId="6" borderId="2" xfId="0" applyFont="1" applyFill="1" applyBorder="1" applyAlignment="1">
      <alignment horizontal="center" vertical="center" wrapText="1"/>
    </xf>
    <xf numFmtId="0" fontId="53" fillId="0" borderId="7" xfId="0" applyFont="1" applyBorder="1" applyAlignment="1">
      <alignment vertical="center"/>
    </xf>
    <xf numFmtId="0" fontId="53" fillId="0" borderId="10" xfId="0" applyFont="1" applyBorder="1" applyAlignment="1">
      <alignment vertical="center"/>
    </xf>
    <xf numFmtId="0" fontId="53" fillId="0" borderId="8" xfId="0" applyFont="1" applyBorder="1" applyAlignment="1">
      <alignment vertical="center"/>
    </xf>
    <xf numFmtId="0" fontId="7" fillId="26" borderId="62" xfId="0" applyFont="1" applyFill="1" applyBorder="1" applyAlignment="1">
      <alignment wrapText="1"/>
    </xf>
    <xf numFmtId="0" fontId="7" fillId="26" borderId="62" xfId="0" applyFont="1" applyFill="1" applyBorder="1" applyAlignment="1">
      <alignment horizontal="center" vertical="center"/>
    </xf>
    <xf numFmtId="0" fontId="7" fillId="26" borderId="63" xfId="0" applyFont="1" applyFill="1" applyBorder="1" applyAlignment="1">
      <alignment horizontal="center" vertical="center"/>
    </xf>
    <xf numFmtId="0" fontId="7" fillId="26" borderId="64" xfId="0" applyFont="1" applyFill="1" applyBorder="1" applyAlignment="1">
      <alignment horizontal="center" vertical="center"/>
    </xf>
    <xf numFmtId="0" fontId="31" fillId="20" borderId="10" xfId="0" applyFont="1" applyFill="1" applyBorder="1" applyAlignment="1">
      <alignment vertical="center"/>
    </xf>
    <xf numFmtId="0" fontId="12" fillId="9" borderId="0" xfId="0" applyFont="1" applyFill="1"/>
    <xf numFmtId="0" fontId="12" fillId="9" borderId="0" xfId="0" applyFont="1" applyFill="1" applyAlignment="1">
      <alignment horizontal="center"/>
    </xf>
    <xf numFmtId="0" fontId="7" fillId="9" borderId="0" xfId="0" applyFont="1" applyFill="1"/>
    <xf numFmtId="0" fontId="12" fillId="9" borderId="15" xfId="0" applyFont="1" applyFill="1" applyBorder="1"/>
    <xf numFmtId="0" fontId="20" fillId="9" borderId="15" xfId="0" applyFont="1" applyFill="1" applyBorder="1"/>
    <xf numFmtId="0" fontId="20" fillId="9" borderId="0" xfId="0" applyFont="1" applyFill="1"/>
    <xf numFmtId="0" fontId="0" fillId="9" borderId="16" xfId="0" applyFill="1" applyBorder="1"/>
    <xf numFmtId="0" fontId="5" fillId="9" borderId="6" xfId="0" applyFont="1" applyFill="1" applyBorder="1" applyAlignment="1">
      <alignment vertical="center"/>
    </xf>
    <xf numFmtId="0" fontId="53" fillId="9" borderId="7" xfId="0" applyFont="1" applyFill="1" applyBorder="1" applyAlignment="1">
      <alignment vertical="center"/>
    </xf>
    <xf numFmtId="0" fontId="7" fillId="9" borderId="7" xfId="0" applyFont="1" applyFill="1" applyBorder="1" applyAlignment="1">
      <alignment vertical="center"/>
    </xf>
    <xf numFmtId="0" fontId="9" fillId="9" borderId="6" xfId="1" applyFont="1" applyFill="1" applyBorder="1" applyAlignment="1">
      <alignment horizontal="center" vertical="center"/>
    </xf>
    <xf numFmtId="0" fontId="9" fillId="9" borderId="1" xfId="1" applyFont="1" applyFill="1" applyBorder="1" applyAlignment="1">
      <alignment horizontal="center" vertical="center"/>
    </xf>
    <xf numFmtId="0" fontId="46" fillId="0" borderId="0" xfId="0" applyFont="1" applyAlignment="1">
      <alignment wrapText="1"/>
    </xf>
    <xf numFmtId="0" fontId="39" fillId="10" borderId="7" xfId="0" applyFont="1" applyFill="1" applyBorder="1" applyAlignment="1">
      <alignment wrapText="1"/>
    </xf>
    <xf numFmtId="0" fontId="46" fillId="0" borderId="7" xfId="0" applyFont="1" applyBorder="1" applyAlignment="1">
      <alignment wrapText="1"/>
    </xf>
    <xf numFmtId="0" fontId="28" fillId="0" borderId="7" xfId="0" applyFont="1" applyBorder="1"/>
    <xf numFmtId="0" fontId="26" fillId="3" borderId="2" xfId="0" applyFont="1" applyFill="1" applyBorder="1" applyAlignment="1">
      <alignment vertical="center"/>
    </xf>
    <xf numFmtId="0" fontId="0" fillId="24" borderId="7" xfId="0" applyFill="1" applyBorder="1" applyAlignment="1">
      <alignment vertical="center"/>
    </xf>
    <xf numFmtId="0" fontId="0" fillId="24" borderId="7" xfId="0" applyFill="1" applyBorder="1" applyAlignment="1">
      <alignment horizontal="center"/>
    </xf>
    <xf numFmtId="0" fontId="21" fillId="24" borderId="10" xfId="0" applyFont="1" applyFill="1" applyBorder="1" applyAlignment="1">
      <alignment horizontal="center" vertical="center"/>
    </xf>
    <xf numFmtId="0" fontId="21" fillId="9" borderId="7" xfId="0" applyFont="1" applyFill="1" applyBorder="1" applyAlignment="1">
      <alignment horizontal="center" wrapText="1"/>
    </xf>
    <xf numFmtId="0" fontId="53" fillId="6" borderId="7" xfId="0" applyFont="1" applyFill="1" applyBorder="1" applyAlignment="1">
      <alignment vertical="center"/>
    </xf>
    <xf numFmtId="0" fontId="31" fillId="0" borderId="7" xfId="0" applyFont="1" applyBorder="1" applyAlignment="1">
      <alignment vertical="center"/>
    </xf>
    <xf numFmtId="0" fontId="17" fillId="0" borderId="7" xfId="0" applyFont="1" applyBorder="1" applyAlignment="1">
      <alignment vertical="center"/>
    </xf>
    <xf numFmtId="0" fontId="17" fillId="9" borderId="7" xfId="0" applyFont="1" applyFill="1" applyBorder="1" applyAlignment="1">
      <alignment vertical="center"/>
    </xf>
    <xf numFmtId="0" fontId="55" fillId="0" borderId="8" xfId="0" applyFont="1" applyBorder="1" applyAlignment="1">
      <alignment vertical="center"/>
    </xf>
    <xf numFmtId="0" fontId="16" fillId="2" borderId="7" xfId="0" applyFont="1" applyFill="1" applyBorder="1" applyAlignment="1">
      <alignment wrapText="1"/>
    </xf>
    <xf numFmtId="0" fontId="16" fillId="9" borderId="7" xfId="0" applyFont="1" applyFill="1" applyBorder="1" applyAlignment="1">
      <alignment wrapText="1"/>
    </xf>
    <xf numFmtId="0" fontId="16" fillId="2" borderId="8" xfId="0" applyFont="1" applyFill="1" applyBorder="1" applyAlignment="1">
      <alignment wrapText="1"/>
    </xf>
    <xf numFmtId="0" fontId="17" fillId="0" borderId="24" xfId="0" applyFont="1" applyBorder="1"/>
    <xf numFmtId="0" fontId="16" fillId="0" borderId="25" xfId="0" applyFont="1" applyBorder="1"/>
    <xf numFmtId="0" fontId="17" fillId="16" borderId="24" xfId="0" applyFont="1" applyFill="1" applyBorder="1"/>
    <xf numFmtId="0" fontId="16" fillId="16" borderId="25" xfId="0" applyFont="1" applyFill="1" applyBorder="1"/>
    <xf numFmtId="0" fontId="17" fillId="0" borderId="25" xfId="0" applyFont="1" applyBorder="1"/>
    <xf numFmtId="0" fontId="16" fillId="16" borderId="24" xfId="0" applyFont="1" applyFill="1" applyBorder="1"/>
    <xf numFmtId="0" fontId="17" fillId="16" borderId="25" xfId="0" applyFont="1" applyFill="1" applyBorder="1"/>
    <xf numFmtId="0" fontId="17" fillId="16" borderId="0" xfId="0" applyFont="1" applyFill="1"/>
    <xf numFmtId="0" fontId="56" fillId="6" borderId="8" xfId="0" applyFont="1" applyFill="1" applyBorder="1"/>
    <xf numFmtId="0" fontId="16" fillId="0" borderId="24" xfId="0" applyFont="1" applyBorder="1"/>
    <xf numFmtId="0" fontId="16" fillId="16" borderId="26" xfId="0" applyFont="1" applyFill="1" applyBorder="1"/>
    <xf numFmtId="0" fontId="55" fillId="0" borderId="25" xfId="0" applyFont="1" applyBorder="1"/>
    <xf numFmtId="0" fontId="55" fillId="16" borderId="24" xfId="0" applyFont="1" applyFill="1" applyBorder="1"/>
    <xf numFmtId="0" fontId="55" fillId="16" borderId="26" xfId="0" applyFont="1" applyFill="1" applyBorder="1"/>
    <xf numFmtId="0" fontId="16" fillId="0" borderId="26" xfId="0" applyFont="1" applyBorder="1"/>
    <xf numFmtId="0" fontId="31" fillId="6" borderId="6" xfId="0" applyFont="1" applyFill="1" applyBorder="1" applyAlignment="1">
      <alignment vertical="center"/>
    </xf>
    <xf numFmtId="0" fontId="17" fillId="0" borderId="26" xfId="0" applyFont="1" applyBorder="1"/>
    <xf numFmtId="0" fontId="55" fillId="0" borderId="0" xfId="0" applyFont="1"/>
    <xf numFmtId="0" fontId="57" fillId="0" borderId="24" xfId="1" applyFont="1" applyBorder="1" applyAlignment="1">
      <alignment horizontal="center" vertical="center"/>
    </xf>
    <xf numFmtId="0" fontId="55" fillId="0" borderId="24" xfId="0" applyFont="1" applyBorder="1" applyAlignment="1">
      <alignment horizontal="center" vertical="center"/>
    </xf>
    <xf numFmtId="0" fontId="17" fillId="0" borderId="15" xfId="0" applyFont="1" applyBorder="1"/>
    <xf numFmtId="0" fontId="17" fillId="16" borderId="15" xfId="0" applyFont="1" applyFill="1" applyBorder="1"/>
    <xf numFmtId="0" fontId="16" fillId="16" borderId="0" xfId="0" applyFont="1" applyFill="1"/>
    <xf numFmtId="0" fontId="16" fillId="16" borderId="15" xfId="0" applyFont="1" applyFill="1" applyBorder="1"/>
    <xf numFmtId="0" fontId="16" fillId="0" borderId="15" xfId="0" applyFont="1" applyBorder="1"/>
    <xf numFmtId="0" fontId="16" fillId="16" borderId="16" xfId="0" applyFont="1" applyFill="1" applyBorder="1"/>
    <xf numFmtId="0" fontId="55" fillId="16" borderId="15" xfId="0" applyFont="1" applyFill="1" applyBorder="1"/>
    <xf numFmtId="0" fontId="55" fillId="16" borderId="16" xfId="0" applyFont="1" applyFill="1" applyBorder="1"/>
    <xf numFmtId="0" fontId="16" fillId="0" borderId="16" xfId="0" applyFont="1" applyBorder="1"/>
    <xf numFmtId="0" fontId="58" fillId="6" borderId="6" xfId="0" applyFont="1" applyFill="1" applyBorder="1" applyAlignment="1">
      <alignment vertical="center"/>
    </xf>
    <xf numFmtId="0" fontId="17" fillId="0" borderId="16" xfId="0" applyFont="1" applyBorder="1"/>
    <xf numFmtId="0" fontId="55" fillId="0" borderId="24" xfId="0" applyFont="1" applyBorder="1" applyAlignment="1">
      <alignment vertical="center"/>
    </xf>
    <xf numFmtId="0" fontId="55" fillId="0" borderId="7" xfId="0" applyFont="1" applyBorder="1" applyAlignment="1">
      <alignment horizontal="center" vertical="center"/>
    </xf>
    <xf numFmtId="0" fontId="16" fillId="2" borderId="7" xfId="0" applyFont="1" applyFill="1" applyBorder="1" applyAlignment="1">
      <alignment horizontal="left" wrapText="1"/>
    </xf>
    <xf numFmtId="0" fontId="16" fillId="0" borderId="7" xfId="0" applyFont="1" applyBorder="1" applyAlignment="1">
      <alignment horizontal="left" wrapText="1"/>
    </xf>
    <xf numFmtId="0" fontId="17" fillId="2" borderId="2" xfId="0" applyFont="1" applyFill="1" applyBorder="1" applyAlignment="1">
      <alignment vertical="center" wrapText="1"/>
    </xf>
    <xf numFmtId="0" fontId="31" fillId="0" borderId="24" xfId="0" applyFont="1" applyBorder="1" applyAlignment="1">
      <alignment horizontal="left" vertical="center" wrapText="1"/>
    </xf>
    <xf numFmtId="0" fontId="57" fillId="0" borderId="26" xfId="1" applyFont="1" applyBorder="1" applyAlignment="1">
      <alignment horizontal="center" vertical="center"/>
    </xf>
    <xf numFmtId="0" fontId="13" fillId="6" borderId="8" xfId="0" applyFont="1" applyFill="1" applyBorder="1" applyAlignment="1">
      <alignment vertical="center"/>
    </xf>
    <xf numFmtId="0" fontId="55" fillId="0" borderId="10" xfId="0" applyFont="1" applyBorder="1" applyAlignment="1">
      <alignment wrapText="1"/>
    </xf>
    <xf numFmtId="0" fontId="43" fillId="20" borderId="7" xfId="1" applyFont="1" applyFill="1" applyBorder="1" applyAlignment="1">
      <alignment horizontal="center" vertical="center"/>
    </xf>
    <xf numFmtId="0" fontId="59" fillId="28" borderId="7" xfId="0" applyFont="1" applyFill="1" applyBorder="1" applyAlignment="1">
      <alignment vertical="center"/>
    </xf>
    <xf numFmtId="0" fontId="60" fillId="28" borderId="7" xfId="0" applyFont="1" applyFill="1" applyBorder="1" applyAlignment="1">
      <alignment wrapText="1"/>
    </xf>
    <xf numFmtId="0" fontId="60" fillId="28" borderId="7" xfId="0" applyFont="1" applyFill="1" applyBorder="1" applyAlignment="1">
      <alignment horizontal="center" vertical="center"/>
    </xf>
    <xf numFmtId="0" fontId="60" fillId="28" borderId="2" xfId="0" applyFont="1" applyFill="1" applyBorder="1" applyAlignment="1">
      <alignment horizontal="center" vertical="center"/>
    </xf>
    <xf numFmtId="0" fontId="61" fillId="26" borderId="61" xfId="0" applyFont="1" applyFill="1" applyBorder="1" applyAlignment="1">
      <alignment vertical="center"/>
    </xf>
    <xf numFmtId="0" fontId="55" fillId="20" borderId="7" xfId="0" applyFont="1" applyFill="1" applyBorder="1" applyAlignment="1">
      <alignment horizontal="center" vertical="center"/>
    </xf>
    <xf numFmtId="0" fontId="0" fillId="20" borderId="6" xfId="0" applyFill="1" applyBorder="1" applyAlignment="1">
      <alignment horizontal="center" vertical="center" wrapText="1"/>
    </xf>
    <xf numFmtId="0" fontId="5" fillId="9" borderId="8" xfId="0" applyFont="1" applyFill="1" applyBorder="1" applyAlignment="1">
      <alignment vertical="center"/>
    </xf>
    <xf numFmtId="0" fontId="16" fillId="2" borderId="1" xfId="0" applyFont="1" applyFill="1" applyBorder="1" applyAlignment="1">
      <alignment horizontal="center" vertical="center"/>
    </xf>
    <xf numFmtId="0" fontId="16" fillId="2" borderId="2" xfId="0" applyFont="1" applyFill="1" applyBorder="1" applyAlignment="1">
      <alignment horizontal="center" vertical="center"/>
    </xf>
    <xf numFmtId="0" fontId="55" fillId="2" borderId="2" xfId="0" applyFont="1" applyFill="1" applyBorder="1" applyAlignment="1">
      <alignment horizontal="center" vertical="center"/>
    </xf>
    <xf numFmtId="0" fontId="0" fillId="9" borderId="6" xfId="0" applyFill="1" applyBorder="1" applyAlignment="1">
      <alignment vertical="center" wrapText="1"/>
    </xf>
    <xf numFmtId="0" fontId="3" fillId="9" borderId="14" xfId="1" applyFill="1" applyBorder="1" applyAlignment="1">
      <alignment horizontal="center" vertical="center" wrapText="1"/>
    </xf>
    <xf numFmtId="0" fontId="3" fillId="9" borderId="9" xfId="1" applyFill="1" applyBorder="1" applyAlignment="1">
      <alignment horizontal="center" vertical="center"/>
    </xf>
    <xf numFmtId="0" fontId="21" fillId="9" borderId="7" xfId="0" applyFont="1" applyFill="1" applyBorder="1" applyAlignment="1">
      <alignment horizontal="center" vertical="center"/>
    </xf>
    <xf numFmtId="0" fontId="21" fillId="27" borderId="0" xfId="0" applyFont="1" applyFill="1" applyAlignment="1">
      <alignment vertical="center" wrapText="1"/>
    </xf>
    <xf numFmtId="0" fontId="54" fillId="20" borderId="24" xfId="0" applyFont="1" applyFill="1" applyBorder="1" applyAlignment="1">
      <alignment horizontal="center" vertical="center" wrapText="1"/>
    </xf>
    <xf numFmtId="0" fontId="0" fillId="9" borderId="14" xfId="0" applyFill="1" applyBorder="1" applyAlignment="1">
      <alignment vertical="center" wrapText="1"/>
    </xf>
    <xf numFmtId="0" fontId="0" fillId="20" borderId="14" xfId="0" applyFill="1" applyBorder="1" applyAlignment="1">
      <alignment horizontal="center" vertical="center"/>
    </xf>
    <xf numFmtId="0" fontId="0" fillId="21" borderId="2" xfId="0" applyFill="1" applyBorder="1"/>
    <xf numFmtId="0" fontId="0" fillId="21" borderId="6" xfId="0" applyFill="1" applyBorder="1"/>
    <xf numFmtId="14" fontId="0" fillId="0" borderId="14" xfId="0" applyNumberFormat="1" applyBorder="1" applyAlignment="1">
      <alignment horizontal="center" vertical="center"/>
    </xf>
    <xf numFmtId="0" fontId="21" fillId="0" borderId="8" xfId="0" applyFont="1" applyBorder="1" applyAlignment="1">
      <alignment wrapText="1"/>
    </xf>
    <xf numFmtId="0" fontId="0" fillId="0" borderId="13" xfId="0" applyBorder="1"/>
    <xf numFmtId="0" fontId="0" fillId="9" borderId="2" xfId="0" applyFill="1" applyBorder="1" applyAlignment="1">
      <alignment horizontal="center"/>
    </xf>
    <xf numFmtId="0" fontId="0" fillId="9" borderId="6" xfId="0" applyFill="1" applyBorder="1" applyAlignment="1">
      <alignment horizontal="center"/>
    </xf>
    <xf numFmtId="0" fontId="0" fillId="9" borderId="1" xfId="0" applyFill="1" applyBorder="1" applyAlignment="1">
      <alignment horizontal="center"/>
    </xf>
    <xf numFmtId="0" fontId="0" fillId="21" borderId="6" xfId="0" applyFill="1" applyBorder="1" applyAlignment="1">
      <alignment wrapText="1"/>
    </xf>
    <xf numFmtId="0" fontId="7" fillId="0" borderId="7" xfId="0" applyFont="1" applyBorder="1" applyAlignment="1">
      <alignment vertical="center" wrapText="1"/>
    </xf>
    <xf numFmtId="0" fontId="7" fillId="0" borderId="2" xfId="0" applyFont="1" applyBorder="1" applyAlignment="1">
      <alignment vertical="center" wrapText="1"/>
    </xf>
    <xf numFmtId="0" fontId="7" fillId="0" borderId="1" xfId="0" applyFont="1" applyBorder="1" applyAlignment="1">
      <alignment vertical="center" wrapText="1"/>
    </xf>
    <xf numFmtId="0" fontId="19" fillId="0" borderId="0" xfId="0" applyFont="1" applyAlignment="1">
      <alignment vertical="center" wrapText="1"/>
    </xf>
    <xf numFmtId="0" fontId="0" fillId="21" borderId="12" xfId="0" applyFill="1" applyBorder="1"/>
    <xf numFmtId="0" fontId="0" fillId="29" borderId="7" xfId="0" applyFill="1" applyBorder="1" applyAlignment="1">
      <alignment horizontal="center" vertical="center"/>
    </xf>
    <xf numFmtId="0" fontId="7" fillId="6" borderId="2" xfId="0" applyFont="1" applyFill="1" applyBorder="1" applyAlignment="1">
      <alignment vertical="center" wrapText="1"/>
    </xf>
    <xf numFmtId="0" fontId="0" fillId="10" borderId="10" xfId="0" applyFill="1" applyBorder="1"/>
    <xf numFmtId="0" fontId="0" fillId="10" borderId="24" xfId="0" applyFill="1" applyBorder="1"/>
    <xf numFmtId="0" fontId="7" fillId="16" borderId="7" xfId="0" applyFont="1" applyFill="1" applyBorder="1" applyAlignment="1">
      <alignment vertical="center" wrapText="1"/>
    </xf>
    <xf numFmtId="0" fontId="0" fillId="21" borderId="9" xfId="0" applyFill="1" applyBorder="1" applyAlignment="1">
      <alignment horizontal="center"/>
    </xf>
    <xf numFmtId="0" fontId="0" fillId="21" borderId="9" xfId="0" applyFill="1" applyBorder="1" applyAlignment="1">
      <alignment horizontal="center" wrapText="1"/>
    </xf>
    <xf numFmtId="0" fontId="0" fillId="21" borderId="15" xfId="0" applyFill="1" applyBorder="1" applyAlignment="1">
      <alignment horizontal="center"/>
    </xf>
    <xf numFmtId="0" fontId="0" fillId="21" borderId="7" xfId="0" applyFill="1" applyBorder="1" applyAlignment="1">
      <alignment horizontal="center"/>
    </xf>
    <xf numFmtId="0" fontId="0" fillId="21" borderId="16" xfId="0" applyFill="1" applyBorder="1" applyAlignment="1">
      <alignment horizontal="center"/>
    </xf>
    <xf numFmtId="0" fontId="0" fillId="9" borderId="9" xfId="0" applyFill="1" applyBorder="1" applyAlignment="1">
      <alignment horizontal="center"/>
    </xf>
    <xf numFmtId="0" fontId="0" fillId="7" borderId="7" xfId="0" applyFill="1" applyBorder="1" applyAlignment="1">
      <alignment horizontal="center" vertical="center"/>
    </xf>
    <xf numFmtId="0" fontId="0" fillId="0" borderId="14" xfId="0" applyBorder="1" applyAlignment="1">
      <alignment horizontal="center" vertical="center"/>
    </xf>
    <xf numFmtId="0" fontId="0" fillId="29" borderId="1" xfId="0" applyFill="1" applyBorder="1" applyAlignment="1">
      <alignment horizontal="center" vertical="center"/>
    </xf>
    <xf numFmtId="0" fontId="0" fillId="29" borderId="2" xfId="0" applyFill="1" applyBorder="1" applyAlignment="1">
      <alignment horizontal="center" vertical="center"/>
    </xf>
    <xf numFmtId="0" fontId="7" fillId="16" borderId="8" xfId="0" applyFont="1" applyFill="1" applyBorder="1" applyAlignment="1">
      <alignment vertical="center" wrapText="1"/>
    </xf>
    <xf numFmtId="0" fontId="7" fillId="0" borderId="8" xfId="0" applyFont="1" applyBorder="1" applyAlignment="1">
      <alignment vertical="center" wrapText="1"/>
    </xf>
    <xf numFmtId="0" fontId="7" fillId="0" borderId="15" xfId="0" applyFont="1" applyBorder="1" applyAlignment="1">
      <alignment vertical="center" wrapText="1"/>
    </xf>
    <xf numFmtId="0" fontId="0" fillId="29" borderId="8" xfId="0" applyFill="1" applyBorder="1" applyAlignment="1">
      <alignment horizontal="center" vertical="center"/>
    </xf>
    <xf numFmtId="0" fontId="7" fillId="0" borderId="12" xfId="0" applyFont="1" applyBorder="1" applyAlignment="1">
      <alignment vertical="center" wrapText="1"/>
    </xf>
    <xf numFmtId="0" fontId="0" fillId="0" borderId="8" xfId="0" applyBorder="1" applyAlignment="1">
      <alignment vertical="center"/>
    </xf>
    <xf numFmtId="0" fontId="0" fillId="29" borderId="13" xfId="0" applyFill="1" applyBorder="1" applyAlignment="1">
      <alignment horizontal="center" vertical="center"/>
    </xf>
    <xf numFmtId="0" fontId="0" fillId="29" borderId="14" xfId="0" applyFill="1" applyBorder="1" applyAlignment="1">
      <alignment horizontal="center" vertical="center"/>
    </xf>
    <xf numFmtId="0" fontId="7" fillId="0" borderId="7" xfId="0" applyFont="1" applyBorder="1" applyAlignment="1">
      <alignment wrapText="1"/>
    </xf>
    <xf numFmtId="0" fontId="7" fillId="0" borderId="2" xfId="0" applyFont="1" applyBorder="1" applyAlignment="1">
      <alignment horizontal="center" vertical="center" wrapText="1"/>
    </xf>
    <xf numFmtId="0" fontId="14" fillId="0" borderId="7" xfId="0" applyFont="1" applyBorder="1" applyAlignment="1">
      <alignment vertical="center" wrapText="1"/>
    </xf>
    <xf numFmtId="0" fontId="7" fillId="22" borderId="14" xfId="0" applyFont="1" applyFill="1" applyBorder="1" applyAlignment="1">
      <alignment vertical="center" wrapText="1"/>
    </xf>
    <xf numFmtId="0" fontId="7" fillId="11" borderId="7" xfId="0" applyFont="1" applyFill="1" applyBorder="1" applyAlignment="1">
      <alignment horizontal="center" vertical="center" wrapText="1"/>
    </xf>
    <xf numFmtId="0" fontId="21" fillId="0" borderId="7" xfId="0" applyFont="1" applyBorder="1" applyAlignment="1">
      <alignment horizontal="center" vertical="center"/>
    </xf>
    <xf numFmtId="0" fontId="12" fillId="6" borderId="7" xfId="0" applyFont="1" applyFill="1" applyBorder="1" applyAlignment="1">
      <alignment horizontal="center" vertical="center"/>
    </xf>
    <xf numFmtId="0" fontId="0" fillId="6" borderId="9" xfId="0" applyFill="1" applyBorder="1" applyAlignment="1">
      <alignment horizontal="center" vertical="center"/>
    </xf>
    <xf numFmtId="0" fontId="7" fillId="11" borderId="1" xfId="0" applyFont="1" applyFill="1" applyBorder="1" applyAlignment="1">
      <alignment vertical="center" wrapText="1"/>
    </xf>
    <xf numFmtId="0" fontId="0" fillId="0" borderId="10" xfId="0" applyBorder="1" applyAlignment="1">
      <alignment wrapText="1"/>
    </xf>
    <xf numFmtId="0" fontId="40" fillId="22" borderId="26" xfId="0" applyFont="1" applyFill="1" applyBorder="1"/>
    <xf numFmtId="0" fontId="44" fillId="10" borderId="15" xfId="0" applyFont="1" applyFill="1" applyBorder="1"/>
    <xf numFmtId="14" fontId="0" fillId="0" borderId="8" xfId="0" applyNumberFormat="1" applyBorder="1" applyAlignment="1">
      <alignment horizontal="center" vertical="center"/>
    </xf>
    <xf numFmtId="0" fontId="0" fillId="0" borderId="7" xfId="0" applyBorder="1" applyAlignment="1">
      <alignment horizontal="center" wrapText="1"/>
    </xf>
    <xf numFmtId="0" fontId="0" fillId="22" borderId="26" xfId="0" applyFill="1" applyBorder="1"/>
    <xf numFmtId="0" fontId="4" fillId="18" borderId="24" xfId="0" applyFont="1" applyFill="1" applyBorder="1"/>
    <xf numFmtId="167" fontId="44" fillId="0" borderId="0" xfId="0" applyNumberFormat="1" applyFont="1"/>
    <xf numFmtId="0" fontId="44" fillId="0" borderId="0" xfId="0" applyFont="1" applyAlignment="1">
      <alignment vertical="top"/>
    </xf>
    <xf numFmtId="0" fontId="44" fillId="10" borderId="7" xfId="0" applyFont="1" applyFill="1" applyBorder="1" applyAlignment="1">
      <alignment wrapText="1"/>
    </xf>
    <xf numFmtId="0" fontId="44" fillId="0" borderId="0" xfId="0" applyFont="1"/>
    <xf numFmtId="0" fontId="44" fillId="10" borderId="24" xfId="0" applyFont="1" applyFill="1" applyBorder="1" applyAlignment="1">
      <alignment wrapText="1"/>
    </xf>
    <xf numFmtId="0" fontId="1" fillId="0" borderId="0" xfId="0" applyFont="1"/>
    <xf numFmtId="0" fontId="1" fillId="17" borderId="7" xfId="0" applyFont="1" applyFill="1" applyBorder="1" applyAlignment="1">
      <alignment horizontal="center" vertical="center"/>
    </xf>
    <xf numFmtId="0" fontId="1" fillId="17" borderId="7" xfId="0" applyFont="1" applyFill="1" applyBorder="1" applyAlignment="1">
      <alignment horizontal="center" vertical="center" wrapText="1"/>
    </xf>
    <xf numFmtId="0" fontId="1" fillId="16" borderId="12" xfId="0" applyFont="1" applyFill="1" applyBorder="1" applyAlignment="1">
      <alignment horizontal="center"/>
    </xf>
    <xf numFmtId="0" fontId="1" fillId="16" borderId="14" xfId="0" applyFont="1" applyFill="1" applyBorder="1" applyAlignment="1">
      <alignment horizontal="center"/>
    </xf>
    <xf numFmtId="0" fontId="1" fillId="0" borderId="14" xfId="0" applyFont="1" applyBorder="1" applyAlignment="1">
      <alignment horizontal="center"/>
    </xf>
    <xf numFmtId="0" fontId="1" fillId="0" borderId="12" xfId="0" applyFont="1" applyBorder="1" applyAlignment="1">
      <alignment horizontal="center"/>
    </xf>
    <xf numFmtId="0" fontId="1" fillId="16" borderId="13" xfId="0" applyFont="1" applyFill="1" applyBorder="1" applyAlignment="1">
      <alignment horizontal="center"/>
    </xf>
    <xf numFmtId="0" fontId="1" fillId="0" borderId="13" xfId="0" applyFont="1" applyBorder="1" applyAlignment="1">
      <alignment horizontal="center"/>
    </xf>
    <xf numFmtId="0" fontId="1" fillId="16" borderId="0" xfId="0" applyFont="1" applyFill="1" applyAlignment="1">
      <alignment horizontal="center"/>
    </xf>
    <xf numFmtId="0" fontId="1" fillId="16" borderId="15" xfId="0" applyFont="1" applyFill="1" applyBorder="1" applyAlignment="1">
      <alignment horizontal="center"/>
    </xf>
    <xf numFmtId="0" fontId="1" fillId="0" borderId="15" xfId="0" applyFont="1" applyBorder="1" applyAlignment="1">
      <alignment horizontal="center"/>
    </xf>
    <xf numFmtId="0" fontId="1" fillId="0" borderId="0" xfId="0" applyFont="1" applyAlignment="1">
      <alignment horizontal="center"/>
    </xf>
    <xf numFmtId="0" fontId="1" fillId="16" borderId="16" xfId="0" applyFont="1" applyFill="1" applyBorder="1" applyAlignment="1">
      <alignment horizontal="center"/>
    </xf>
    <xf numFmtId="0" fontId="1" fillId="0" borderId="16" xfId="0" applyFont="1" applyBorder="1" applyAlignment="1">
      <alignment horizontal="center"/>
    </xf>
    <xf numFmtId="0" fontId="1" fillId="10" borderId="14" xfId="0" applyFont="1" applyFill="1" applyBorder="1" applyAlignment="1">
      <alignment vertical="center"/>
    </xf>
    <xf numFmtId="0" fontId="1" fillId="10" borderId="12" xfId="0" applyFont="1" applyFill="1" applyBorder="1" applyAlignment="1">
      <alignment horizontal="center" vertical="center"/>
    </xf>
    <xf numFmtId="0" fontId="1" fillId="10" borderId="14" xfId="0" applyFont="1" applyFill="1" applyBorder="1" applyAlignment="1">
      <alignment horizontal="center" vertical="center"/>
    </xf>
    <xf numFmtId="0" fontId="1" fillId="16" borderId="0" xfId="0" applyFont="1" applyFill="1"/>
    <xf numFmtId="0" fontId="1" fillId="16" borderId="15" xfId="0" applyFont="1" applyFill="1" applyBorder="1"/>
    <xf numFmtId="0" fontId="1" fillId="0" borderId="15" xfId="0" applyFont="1" applyBorder="1"/>
    <xf numFmtId="0" fontId="1" fillId="16" borderId="16" xfId="0" applyFont="1" applyFill="1" applyBorder="1"/>
    <xf numFmtId="0" fontId="1" fillId="0" borderId="16" xfId="0" applyFont="1" applyBorder="1"/>
    <xf numFmtId="0" fontId="1" fillId="16" borderId="0" xfId="0" applyFont="1" applyFill="1" applyAlignment="1">
      <alignment wrapText="1"/>
    </xf>
    <xf numFmtId="0" fontId="1" fillId="16" borderId="15" xfId="0" applyFont="1" applyFill="1" applyBorder="1" applyAlignment="1">
      <alignment wrapText="1"/>
    </xf>
    <xf numFmtId="0" fontId="1" fillId="0" borderId="15" xfId="0" applyFont="1" applyBorder="1" applyAlignment="1">
      <alignment wrapText="1"/>
    </xf>
    <xf numFmtId="0" fontId="1" fillId="0" borderId="0" xfId="0" applyFont="1" applyAlignment="1">
      <alignment wrapText="1"/>
    </xf>
    <xf numFmtId="0" fontId="1" fillId="16" borderId="16" xfId="0" applyFont="1" applyFill="1" applyBorder="1" applyAlignment="1">
      <alignment wrapText="1"/>
    </xf>
    <xf numFmtId="0" fontId="1" fillId="0" borderId="16" xfId="0" applyFont="1" applyBorder="1" applyAlignment="1">
      <alignment wrapText="1"/>
    </xf>
    <xf numFmtId="0" fontId="1" fillId="9" borderId="7" xfId="0" applyFont="1" applyFill="1" applyBorder="1" applyAlignment="1">
      <alignment wrapText="1"/>
    </xf>
    <xf numFmtId="0" fontId="1" fillId="9" borderId="6" xfId="0" applyFont="1" applyFill="1" applyBorder="1" applyAlignment="1">
      <alignment horizontal="center" vertical="center"/>
    </xf>
    <xf numFmtId="0" fontId="1" fillId="10" borderId="7" xfId="0" applyFont="1" applyFill="1" applyBorder="1" applyAlignment="1">
      <alignment wrapText="1"/>
    </xf>
    <xf numFmtId="0" fontId="1" fillId="10" borderId="1" xfId="0" applyFont="1" applyFill="1" applyBorder="1" applyAlignment="1">
      <alignment horizontal="center" vertical="center"/>
    </xf>
    <xf numFmtId="0" fontId="1" fillId="9" borderId="10" xfId="0" applyFont="1" applyFill="1" applyBorder="1" applyAlignment="1">
      <alignment wrapText="1"/>
    </xf>
    <xf numFmtId="0" fontId="1" fillId="9" borderId="1" xfId="0" applyFont="1" applyFill="1" applyBorder="1" applyAlignment="1">
      <alignment horizontal="center" vertical="center"/>
    </xf>
    <xf numFmtId="0" fontId="1" fillId="9" borderId="8" xfId="0" applyFont="1" applyFill="1" applyBorder="1" applyAlignment="1">
      <alignment vertical="center" wrapText="1"/>
    </xf>
    <xf numFmtId="0" fontId="1" fillId="9" borderId="7" xfId="0" applyFont="1" applyFill="1" applyBorder="1" applyAlignment="1">
      <alignment horizontal="center" vertical="center"/>
    </xf>
    <xf numFmtId="0" fontId="1" fillId="0" borderId="1" xfId="0" applyFont="1" applyBorder="1" applyAlignment="1">
      <alignment vertical="center" wrapText="1"/>
    </xf>
    <xf numFmtId="0" fontId="1" fillId="0" borderId="0" xfId="0" applyFont="1" applyAlignment="1">
      <alignment horizontal="center" vertical="center"/>
    </xf>
    <xf numFmtId="0" fontId="1" fillId="9" borderId="24" xfId="0" applyFont="1" applyFill="1" applyBorder="1" applyAlignment="1">
      <alignment wrapText="1"/>
    </xf>
    <xf numFmtId="0" fontId="1" fillId="9" borderId="8" xfId="0" applyFont="1" applyFill="1" applyBorder="1" applyAlignment="1">
      <alignment horizontal="center" vertical="center"/>
    </xf>
    <xf numFmtId="0" fontId="1" fillId="9" borderId="15" xfId="0" applyFont="1" applyFill="1" applyBorder="1" applyAlignment="1">
      <alignment vertical="center" wrapText="1"/>
    </xf>
    <xf numFmtId="0" fontId="1" fillId="9" borderId="0" xfId="0" applyFont="1" applyFill="1" applyAlignment="1">
      <alignment horizontal="center" vertical="center" wrapText="1"/>
    </xf>
    <xf numFmtId="0" fontId="1" fillId="9" borderId="7" xfId="0" applyFont="1" applyFill="1" applyBorder="1" applyAlignment="1">
      <alignment vertical="center"/>
    </xf>
    <xf numFmtId="0" fontId="1" fillId="9" borderId="2" xfId="0" applyFont="1" applyFill="1" applyBorder="1" applyAlignment="1">
      <alignment horizontal="center" vertical="center"/>
    </xf>
    <xf numFmtId="0" fontId="1" fillId="20" borderId="0" xfId="0" applyFont="1" applyFill="1"/>
    <xf numFmtId="0" fontId="1" fillId="20" borderId="15" xfId="0" applyFont="1" applyFill="1" applyBorder="1"/>
    <xf numFmtId="0" fontId="1" fillId="9" borderId="10" xfId="0" applyFont="1" applyFill="1" applyBorder="1" applyAlignment="1">
      <alignment horizontal="center" vertical="center"/>
    </xf>
    <xf numFmtId="0" fontId="1" fillId="9" borderId="24" xfId="0" applyFont="1" applyFill="1" applyBorder="1" applyAlignment="1">
      <alignment horizontal="center" vertical="center"/>
    </xf>
    <xf numFmtId="0" fontId="1" fillId="9" borderId="25"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0" xfId="0" applyFont="1" applyFill="1" applyBorder="1" applyAlignment="1">
      <alignment horizontal="left" vertical="center" wrapText="1"/>
    </xf>
    <xf numFmtId="0" fontId="1" fillId="9" borderId="24" xfId="0" applyFont="1" applyFill="1" applyBorder="1" applyAlignment="1">
      <alignment vertical="center"/>
    </xf>
    <xf numFmtId="0" fontId="1" fillId="9" borderId="7" xfId="0" applyFont="1" applyFill="1" applyBorder="1" applyAlignment="1">
      <alignment horizontal="left" vertical="center" wrapText="1"/>
    </xf>
    <xf numFmtId="0" fontId="1" fillId="9" borderId="15" xfId="0" applyFont="1" applyFill="1" applyBorder="1" applyAlignment="1">
      <alignment horizontal="left" vertical="center" wrapText="1"/>
    </xf>
    <xf numFmtId="0" fontId="1" fillId="9" borderId="9" xfId="0" applyFont="1" applyFill="1" applyBorder="1" applyAlignment="1">
      <alignment vertical="center"/>
    </xf>
    <xf numFmtId="0" fontId="1" fillId="9" borderId="13" xfId="0" applyFont="1" applyFill="1" applyBorder="1" applyAlignment="1">
      <alignment horizontal="center" vertical="center"/>
    </xf>
    <xf numFmtId="0" fontId="1" fillId="6" borderId="7" xfId="0" applyFont="1" applyFill="1" applyBorder="1" applyAlignment="1">
      <alignment wrapText="1"/>
    </xf>
    <xf numFmtId="0" fontId="1" fillId="6" borderId="7"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2" xfId="0" applyFont="1" applyFill="1" applyBorder="1" applyAlignment="1">
      <alignment horizontal="center" vertical="center"/>
    </xf>
    <xf numFmtId="0" fontId="1" fillId="20" borderId="7" xfId="0" applyFont="1" applyFill="1" applyBorder="1" applyAlignment="1">
      <alignment wrapText="1"/>
    </xf>
    <xf numFmtId="0" fontId="1" fillId="20" borderId="2" xfId="0" applyFont="1" applyFill="1" applyBorder="1" applyAlignment="1">
      <alignment horizontal="center" vertical="center"/>
    </xf>
    <xf numFmtId="0" fontId="1" fillId="9" borderId="7" xfId="0" applyFont="1" applyFill="1" applyBorder="1" applyAlignment="1">
      <alignment horizontal="left" wrapText="1"/>
    </xf>
    <xf numFmtId="0" fontId="1" fillId="9" borderId="8" xfId="0" applyFont="1" applyFill="1" applyBorder="1" applyAlignment="1">
      <alignment wrapText="1"/>
    </xf>
    <xf numFmtId="0" fontId="1" fillId="9" borderId="14" xfId="0" applyFont="1" applyFill="1" applyBorder="1" applyAlignment="1">
      <alignment horizontal="center" vertical="center"/>
    </xf>
    <xf numFmtId="0" fontId="1" fillId="9" borderId="2" xfId="0" applyFont="1" applyFill="1" applyBorder="1" applyAlignment="1">
      <alignment horizontal="left" wrapText="1"/>
    </xf>
    <xf numFmtId="0" fontId="1" fillId="2" borderId="7" xfId="0" applyFont="1" applyFill="1" applyBorder="1" applyAlignment="1">
      <alignment wrapText="1"/>
    </xf>
    <xf numFmtId="0" fontId="1" fillId="2" borderId="10"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0" xfId="0" applyFont="1" applyFill="1" applyBorder="1" applyAlignment="1">
      <alignment wrapText="1"/>
    </xf>
    <xf numFmtId="0" fontId="1" fillId="2" borderId="8"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E3CAE0"/>
      <color rgb="FFF5B0E0"/>
      <color rgb="FF000000"/>
      <color rgb="FF8051C2"/>
      <color rgb="FFE6840E"/>
      <color rgb="FFCF9451"/>
      <color rgb="FF3B047A"/>
      <color rgb="FF484EBD"/>
      <color rgb="FF887099"/>
      <color rgb="FF6D4D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38</xdr:row>
      <xdr:rowOff>123825</xdr:rowOff>
    </xdr:from>
    <xdr:to>
      <xdr:col>15</xdr:col>
      <xdr:colOff>276225</xdr:colOff>
      <xdr:row>94</xdr:row>
      <xdr:rowOff>66675</xdr:rowOff>
    </xdr:to>
    <xdr:pic>
      <xdr:nvPicPr>
        <xdr:cNvPr id="3" name="Picture 2">
          <a:extLst>
            <a:ext uri="{FF2B5EF4-FFF2-40B4-BE49-F238E27FC236}">
              <a16:creationId xmlns:a16="http://schemas.microsoft.com/office/drawing/2014/main" id="{4702F979-098F-147E-FEFF-D2918A99F1C0}"/>
            </a:ext>
            <a:ext uri="{147F2762-F138-4A5C-976F-8EAC2B608ADB}">
              <a16:predDERef xmlns:a16="http://schemas.microsoft.com/office/drawing/2014/main" pred="{D85DD657-4DF9-0726-2261-D48CBEB39E2F}"/>
            </a:ext>
          </a:extLst>
        </xdr:cNvPr>
        <xdr:cNvPicPr>
          <a:picLocks noChangeAspect="1"/>
        </xdr:cNvPicPr>
      </xdr:nvPicPr>
      <xdr:blipFill>
        <a:blip xmlns:r="http://schemas.openxmlformats.org/officeDocument/2006/relationships" r:embed="rId1"/>
        <a:stretch>
          <a:fillRect/>
        </a:stretch>
      </xdr:blipFill>
      <xdr:spPr>
        <a:xfrm>
          <a:off x="-9525" y="7534275"/>
          <a:ext cx="12401550" cy="10610850"/>
        </a:xfrm>
        <a:prstGeom prst="rect">
          <a:avLst/>
        </a:prstGeom>
      </xdr:spPr>
    </xdr:pic>
    <xdr:clientData/>
  </xdr:twoCellAnchor>
  <xdr:twoCellAnchor editAs="oneCell">
    <xdr:from>
      <xdr:col>0</xdr:col>
      <xdr:colOff>0</xdr:colOff>
      <xdr:row>2</xdr:row>
      <xdr:rowOff>0</xdr:rowOff>
    </xdr:from>
    <xdr:to>
      <xdr:col>13</xdr:col>
      <xdr:colOff>428625</xdr:colOff>
      <xdr:row>34</xdr:row>
      <xdr:rowOff>104775</xdr:rowOff>
    </xdr:to>
    <xdr:pic>
      <xdr:nvPicPr>
        <xdr:cNvPr id="6" name="Picture 5">
          <a:extLst>
            <a:ext uri="{FF2B5EF4-FFF2-40B4-BE49-F238E27FC236}">
              <a16:creationId xmlns:a16="http://schemas.microsoft.com/office/drawing/2014/main" id="{649B807D-AC5E-15DD-0584-5F9ACFBF0E2D}"/>
            </a:ext>
            <a:ext uri="{147F2762-F138-4A5C-976F-8EAC2B608ADB}">
              <a16:predDERef xmlns:a16="http://schemas.microsoft.com/office/drawing/2014/main" pred="{4702F979-098F-147E-FEFF-D2918A99F1C0}"/>
            </a:ext>
          </a:extLst>
        </xdr:cNvPr>
        <xdr:cNvPicPr>
          <a:picLocks noChangeAspect="1"/>
        </xdr:cNvPicPr>
      </xdr:nvPicPr>
      <xdr:blipFill>
        <a:blip xmlns:r="http://schemas.openxmlformats.org/officeDocument/2006/relationships" r:embed="rId2"/>
        <a:stretch>
          <a:fillRect/>
        </a:stretch>
      </xdr:blipFill>
      <xdr:spPr>
        <a:xfrm>
          <a:off x="0" y="381000"/>
          <a:ext cx="11325225" cy="6372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roject.ekovya.com/" TargetMode="External"/><Relationship Id="rId18" Type="http://schemas.openxmlformats.org/officeDocument/2006/relationships/hyperlink" Target="https://edumotic.sharepoint.com/:w:/s/EKOVYA/EWFaKwd0Q7tLoZIo7OLk0bABhWtwUtyF-Uxr6Robmr-qIQ?e=HNxVTS" TargetMode="External"/><Relationship Id="rId26" Type="http://schemas.openxmlformats.org/officeDocument/2006/relationships/hyperlink" Target="https://www.figma.com/file/wxyXPHc0l859PU6PCVzcbz/Website-Mock-up?type=design&amp;mode=design&amp;t=pdNpACuQVF9QvZKM-1" TargetMode="External"/><Relationship Id="rId39" Type="http://schemas.openxmlformats.org/officeDocument/2006/relationships/hyperlink" Target="https://wiki.ekovya.com/books/sigma360-salesforce/page/ekovya-bp-sales-to-service-v02" TargetMode="External"/><Relationship Id="rId21" Type="http://schemas.openxmlformats.org/officeDocument/2006/relationships/hyperlink" Target="https://sandbox.ekovya.com/wp-admin/" TargetMode="External"/><Relationship Id="rId34" Type="http://schemas.openxmlformats.org/officeDocument/2006/relationships/hyperlink" Target="https://wiki.ekovya.com/books/sigma360-salesforce/page/ekovya-bp-opportunity-to-customer/edit" TargetMode="External"/><Relationship Id="rId42" Type="http://schemas.openxmlformats.org/officeDocument/2006/relationships/hyperlink" Target="https://edumotic.sharepoint.com/:p:/s/EKOVYA/ESn4CPG-3fpNlTGOM0qu9QgB8fpAmbvBaI3vMNXwgR2cfg?e=OCAaOy" TargetMode="External"/><Relationship Id="rId47" Type="http://schemas.openxmlformats.org/officeDocument/2006/relationships/hyperlink" Target="https://edumotic.sharepoint.com/:f:/s/EKOVYA/EtarNi43OjxOkylqmYYteaMBE6eA8nQOfPSrNzHSEWd7QA?e=OpRnVn" TargetMode="External"/><Relationship Id="rId7" Type="http://schemas.openxmlformats.org/officeDocument/2006/relationships/hyperlink" Target="https://edumotic.sharepoint.com/:w:/s/EKOVYA/EQdjgFgqElVLtM_ny6HMyVIBTmi2hAwwPpdj36J_K9Ltcg?e=JCJ5t8" TargetMode="External"/><Relationship Id="rId2" Type="http://schemas.openxmlformats.org/officeDocument/2006/relationships/hyperlink" Target="https://edumotic.sharepoint.com/:p:/s/EKOVYA/ET4KDLpzFG9AifYSwBTZE3AB6-ytfWFRxRPwJvxDwEPn4w?e=XMnsS4" TargetMode="External"/><Relationship Id="rId16" Type="http://schemas.openxmlformats.org/officeDocument/2006/relationships/hyperlink" Target="https://edumotic.sharepoint.com/:x:/s/EKOVYA/EZ-U4KOR0dRBiAzGBpgK0-UBpOiDv0ps66NA-65lRxdHqg?e=i8Mahx" TargetMode="External"/><Relationship Id="rId29" Type="http://schemas.openxmlformats.org/officeDocument/2006/relationships/hyperlink" Target="https://edumotic.sharepoint.com/:w:/s/EKOVYA/EetbNc2w83dDjyOVTw08gOgBUvBOoJ4YzoJ6tp5TPjXeDg?e=c3URnb" TargetMode="External"/><Relationship Id="rId1" Type="http://schemas.openxmlformats.org/officeDocument/2006/relationships/hyperlink" Target="https://project.ekovya.com/" TargetMode="External"/><Relationship Id="rId6" Type="http://schemas.openxmlformats.org/officeDocument/2006/relationships/hyperlink" Target="https://edumotic.sharepoint.com/:x:/s/EKOVYA/Ee1BKQc-vMpLndZ7IMDk8m0BheslcfLDuVXLDkLop5_-_Q?e=QBk4jr" TargetMode="External"/><Relationship Id="rId11" Type="http://schemas.openxmlformats.org/officeDocument/2006/relationships/hyperlink" Target="https://edumotic.sharepoint.com/:x:/s/EKOVYA/EeA6RtX5mARLjo1L4VclphoBESo5fjcdMaoD7wU582r8xQ?e=2SNoov" TargetMode="External"/><Relationship Id="rId24" Type="http://schemas.openxmlformats.org/officeDocument/2006/relationships/hyperlink" Target="https://www.figma.com/file/wxyXPHc0l859PU6PCVzcbz/Website-Mock-up?type=design&amp;node-id=0%3A1&amp;mode=design&amp;t=zfdwDG2P2957aj27-1" TargetMode="External"/><Relationship Id="rId32" Type="http://schemas.openxmlformats.org/officeDocument/2006/relationships/hyperlink" Target="https://www.figma.com/file/Bl364P4GQqynwWhOpna9Hi/Untitled?type=design&amp;node-id=0%3A1&amp;mode=design&amp;t=GHIlsmAr5Ek8ygYW-1" TargetMode="External"/><Relationship Id="rId37" Type="http://schemas.openxmlformats.org/officeDocument/2006/relationships/hyperlink" Target="https://edumotic.sharepoint.com/:i:/s/EKOVYA/EUubLQnVbe5Kk8X_fZaTAn8B6v_J4NfWNE68NMYCAN571w?e=Ecqj29" TargetMode="External"/><Relationship Id="rId40" Type="http://schemas.openxmlformats.org/officeDocument/2006/relationships/hyperlink" Target="https://edumotic.sharepoint.com/:b:/s/EKOVYA/EX4xPxQqF5REioRlz-rh_N8B0ACN83aWn6VEbdd4AvPbIQ?e=TBCOBg" TargetMode="External"/><Relationship Id="rId45" Type="http://schemas.openxmlformats.org/officeDocument/2006/relationships/hyperlink" Target="https://edumotic.sharepoint.com/:w:/s/EKOVYA/EXFsFnVP7hNGio0TPmuShKwBqLEMLTlIHh6zbViMQcu-sw?e=KFpifM" TargetMode="External"/><Relationship Id="rId5" Type="http://schemas.openxmlformats.org/officeDocument/2006/relationships/hyperlink" Target="https://edumotic.sharepoint.com/:w:/s/EKOVYA/EQHyPk5O7AZKnekqbMDEnXEBVFdyOV0fXXUAP43gGQ9RPg?e=iazMdh" TargetMode="External"/><Relationship Id="rId15" Type="http://schemas.openxmlformats.org/officeDocument/2006/relationships/hyperlink" Target="https://edumotic.sharepoint.com/:w:/s/EKOVYA/EQdjgFgqElVLtM_ny6HMyVIBTmi2hAwwPpdj36J_K9Ltcg?e=JCJ5t8" TargetMode="External"/><Relationship Id="rId23" Type="http://schemas.openxmlformats.org/officeDocument/2006/relationships/hyperlink" Target="https://edumotic.sharepoint.com/:p:/s/EKOVYA/EQQMFJXDHBZNkAKPpp2_IYsBXef_EUeQJ4tCZpUS84aImw?e=maMdfo" TargetMode="External"/><Relationship Id="rId28" Type="http://schemas.openxmlformats.org/officeDocument/2006/relationships/hyperlink" Target="https://edumotic.sharepoint.com/:w:/s/EKOVYA/Eazylc5R4ttBr4xNKoNqveMBDkadhBiaLM8NPW24ob5QZg?e=vvFDTP" TargetMode="External"/><Relationship Id="rId36" Type="http://schemas.openxmlformats.org/officeDocument/2006/relationships/hyperlink" Target="https://wiki.ekovya.com/books/sigma360-salesforce/page/ekovyas-bp-lead-to-opportunity-v01" TargetMode="External"/><Relationship Id="rId10" Type="http://schemas.openxmlformats.org/officeDocument/2006/relationships/hyperlink" Target="https://edumotic.sharepoint.com/:x:/s/EKOVYA/EeA6RtX5mARLjo1L4VclphoBESo5fjcdMaoD7wU582r8xQ?e=TsL5e1" TargetMode="External"/><Relationship Id="rId19" Type="http://schemas.openxmlformats.org/officeDocument/2006/relationships/hyperlink" Target="https://edumotic.sharepoint.com/:p:/s/EKOVYA/EQQMFJXDHBZNkAKPpp2_IYsBXef_EUeQJ4tCZpUS84aImw?e=maMdfo" TargetMode="External"/><Relationship Id="rId31" Type="http://schemas.openxmlformats.org/officeDocument/2006/relationships/hyperlink" Target="https://edumotic.sharepoint.com/:i:/s/EKOVYA/EYEbmH5sEJhHs09zHB17gykB0Y-sMjlv3H-Em0pOvSB6Ug?e=tK04Ad" TargetMode="External"/><Relationship Id="rId44" Type="http://schemas.openxmlformats.org/officeDocument/2006/relationships/hyperlink" Target="https://edumotic.sharepoint.com/:p:/s/EKOVYA/ER-QCakU4GpAqGF5y7UdxYoBbRiNnptnzaeJmcwHZwxEeA?e=k5Nfec" TargetMode="External"/><Relationship Id="rId4" Type="http://schemas.openxmlformats.org/officeDocument/2006/relationships/hyperlink" Target="https://edumotic.sharepoint.com/:x:/s/EKOVYA/EVTZqjlLZv9JrxY4XxZOU-IBlmoMAYALRbdTANDDqgfUvw?e=PNuijm" TargetMode="External"/><Relationship Id="rId9" Type="http://schemas.openxmlformats.org/officeDocument/2006/relationships/hyperlink" Target="https://edumotic.sharepoint.com/:p:/s/EKOVYA/EVcB17f-hHRJu0Vz-pJ-aOIBv-VzV9Ykba69u9kh1fTYhg?e=z5yqXz" TargetMode="External"/><Relationship Id="rId14" Type="http://schemas.openxmlformats.org/officeDocument/2006/relationships/hyperlink" Target="https://project.ekovya.com/" TargetMode="External"/><Relationship Id="rId22" Type="http://schemas.openxmlformats.org/officeDocument/2006/relationships/hyperlink" Target="https://edumotic.sharepoint.com/:b:/s/EKOVYA/ETwWIQOQFVlBvMiwHQ0d7fABeXK83OuIYiczx5Tzwlr0og?e=PD4rh0" TargetMode="External"/><Relationship Id="rId27" Type="http://schemas.openxmlformats.org/officeDocument/2006/relationships/hyperlink" Target="https://edumotic.sharepoint.com/:x:/s/EKOVYA/EVTZqjlLZv9JrxY4XxZOU-IBlmoMAYALRbdTANDDqgfUvw?e=PNuijm" TargetMode="External"/><Relationship Id="rId30" Type="http://schemas.openxmlformats.org/officeDocument/2006/relationships/hyperlink" Target="https://www.figma.com/file/wxyXPHc0l859PU6PCVzcbz/Website-Mock-up?type=design&amp;mode=design&amp;t=ryG0hWZ5bFuAmwUq-1" TargetMode="External"/><Relationship Id="rId35" Type="http://schemas.openxmlformats.org/officeDocument/2006/relationships/hyperlink" Target="https://wiki.ekovya.com/books/sigma360-salesforce/page/ekovya-bp-mailing-campaign-v01" TargetMode="External"/><Relationship Id="rId43" Type="http://schemas.openxmlformats.org/officeDocument/2006/relationships/hyperlink" Target="https://edumotic.sharepoint.com/:p:/s/EKOVYA/ESUp6yfZj-RGt8s8tj2e8uoBI_kylbXCbcoYNwJtrhXN6g?e=MYRjWc" TargetMode="External"/><Relationship Id="rId48" Type="http://schemas.openxmlformats.org/officeDocument/2006/relationships/hyperlink" Target="https://wiki.ekovya.com/books/it-support/chapter/squash-tm" TargetMode="External"/><Relationship Id="rId8" Type="http://schemas.openxmlformats.org/officeDocument/2006/relationships/hyperlink" Target="https://edumotic.sharepoint.com/:w:/s/EKOVYA/EdqWzY7DTJVJmux3gc5IA6wBquPPGrPlaOqZXpnbWoNPOw?e=LGZFK6" TargetMode="External"/><Relationship Id="rId3" Type="http://schemas.openxmlformats.org/officeDocument/2006/relationships/hyperlink" Target="https://edumotic.sharepoint.com/:x:/s/EKOVYA/EUJqtWqscTlDgt09GN3KyXEBKsNZNHpJJzPD6W2q4m_4Rw?e=esTRBP" TargetMode="External"/><Relationship Id="rId12" Type="http://schemas.openxmlformats.org/officeDocument/2006/relationships/hyperlink" Target="https://edumotic.sharepoint.com/:x:/s/EKOVYA/EUJqtWqscTlDgt09GN3KyXEBKsNZNHpJJzPD6W2q4m_4Rw?e=esTRBP" TargetMode="External"/><Relationship Id="rId17" Type="http://schemas.openxmlformats.org/officeDocument/2006/relationships/hyperlink" Target="https://edumotic.sharepoint.com/:w:/s/EKOVYA/EQdjgFgqElVLtM_ny6HMyVIBTmi2hAwwPpdj36J_K9Ltcg?e=JCJ5t8" TargetMode="External"/><Relationship Id="rId25" Type="http://schemas.openxmlformats.org/officeDocument/2006/relationships/hyperlink" Target="https://www.figma.com/file/6gjjE67dBt8p3T5p69Z8pO/EKOVYA_SIGMA_360_PRODUCT_SHEET_MOCK-UP?type=design&amp;node-id=0%3A1&amp;mode=design&amp;t=2cB8L1DZFNdGQfs3-1" TargetMode="External"/><Relationship Id="rId33" Type="http://schemas.openxmlformats.org/officeDocument/2006/relationships/hyperlink" Target="https://wiki.ekovya.com/books/sigma360-salesforce/page/ekovyas-customer-journey-v1" TargetMode="External"/><Relationship Id="rId38" Type="http://schemas.openxmlformats.org/officeDocument/2006/relationships/hyperlink" Target="https://edumotic.sharepoint.com/:w:/s/EKOVYA/EeX-XTgULeZFicJf0ADQ3PoBWJoP28C3YD8-6szjlvs0bg?e=kKHjEg" TargetMode="External"/><Relationship Id="rId46" Type="http://schemas.openxmlformats.org/officeDocument/2006/relationships/hyperlink" Target="https://edumotic.sharepoint.com/:p:/s/EKOVYA/EUvGDnssSqRDlRdfrEyRRlYBYl5ZnwR7gmkG1oHrllyHZg?e=wi2Q2B" TargetMode="External"/><Relationship Id="rId20" Type="http://schemas.openxmlformats.org/officeDocument/2006/relationships/hyperlink" Target="https://edumotic.sharepoint.com/:f:/s/EKOVYA/EnQoalaxCHBPtzYq4o-G3o8B0pIJNwpt_dYKp1WrVoHvRw?e=BbB9al" TargetMode="External"/><Relationship Id="rId41" Type="http://schemas.openxmlformats.org/officeDocument/2006/relationships/hyperlink" Target="https://edumotic.sharepoint.com/:w:/s/EKOVYA/ESshzUz-CdBKtXfz6EiXrqkBRTS2MsuhC5ArM7hHo73zYg?e=88Rhkq"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dumotic.sharepoint.com/:p:/s/EKOVYA/ERhSRKnWNptIutYMy0-zA8cBygwhl8uFhRxqOcCjo8w8jg?e=ULbIna" TargetMode="External"/><Relationship Id="rId1" Type="http://schemas.openxmlformats.org/officeDocument/2006/relationships/hyperlink" Target="https://wiki.ekovya.com/books/sigma360-salesforce-crm1-2023/page/diagramme-ishikaw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314B-CE87-4162-91CC-3F5E44511F14}">
  <sheetPr>
    <pageSetUpPr fitToPage="1"/>
  </sheetPr>
  <dimension ref="A1:CH118"/>
  <sheetViews>
    <sheetView tabSelected="1" workbookViewId="0">
      <pane xSplit="1" topLeftCell="B98" activePane="topRight" state="frozen"/>
      <selection pane="topRight" activeCell="A34" sqref="A34"/>
    </sheetView>
  </sheetViews>
  <sheetFormatPr defaultColWidth="9.140625" defaultRowHeight="15"/>
  <cols>
    <col min="1" max="1" width="60.140625" style="1" customWidth="1"/>
    <col min="2" max="2" width="65" customWidth="1"/>
    <col min="3" max="3" width="67.5703125" style="106" customWidth="1"/>
    <col min="4" max="5" width="88" style="106" customWidth="1"/>
    <col min="6" max="6" width="24" customWidth="1"/>
    <col min="7" max="7" width="14" customWidth="1"/>
    <col min="8" max="8" width="30.7109375" customWidth="1"/>
    <col min="9" max="9" width="38.5703125" customWidth="1"/>
    <col min="10" max="10" width="24" customWidth="1"/>
    <col min="11" max="11" width="13.42578125" customWidth="1"/>
    <col min="12" max="12" width="16" customWidth="1"/>
    <col min="13" max="13" width="12.140625" customWidth="1"/>
    <col min="14" max="15" width="21.7109375" bestFit="1" customWidth="1"/>
    <col min="16" max="16" width="9.5703125" bestFit="1" customWidth="1"/>
    <col min="18" max="18" width="9.5703125" customWidth="1"/>
    <col min="21" max="21" width="10.5703125" bestFit="1" customWidth="1"/>
    <col min="22" max="22" width="11.7109375" bestFit="1" customWidth="1"/>
    <col min="23" max="26" width="9.5703125" bestFit="1" customWidth="1"/>
    <col min="31" max="31" width="9.5703125" bestFit="1" customWidth="1"/>
    <col min="36" max="36" width="24.140625" bestFit="1" customWidth="1"/>
    <col min="37" max="37" width="12.7109375" customWidth="1"/>
    <col min="38" max="40" width="10.5703125" bestFit="1" customWidth="1"/>
    <col min="41" max="41" width="11.7109375" bestFit="1" customWidth="1"/>
    <col min="42" max="42" width="10.7109375" customWidth="1"/>
    <col min="43" max="43" width="11.7109375" customWidth="1"/>
    <col min="44" max="44" width="12" customWidth="1"/>
    <col min="45" max="45" width="11.140625" customWidth="1"/>
    <col min="46" max="46" width="11.7109375" bestFit="1" customWidth="1"/>
    <col min="47" max="47" width="11.7109375" customWidth="1"/>
    <col min="49" max="49" width="10.5703125" customWidth="1"/>
    <col min="50" max="50" width="11.140625" customWidth="1"/>
    <col min="51" max="51" width="10.85546875" customWidth="1"/>
    <col min="52" max="52" width="11.5703125" customWidth="1"/>
    <col min="53" max="53" width="11.42578125" customWidth="1"/>
    <col min="54" max="54" width="11.7109375" bestFit="1" customWidth="1"/>
    <col min="55" max="56" width="11.28515625" customWidth="1"/>
    <col min="57" max="57" width="11.7109375" bestFit="1" customWidth="1"/>
    <col min="58" max="58" width="10.5703125" bestFit="1" customWidth="1"/>
    <col min="60" max="60" width="9.5703125" bestFit="1" customWidth="1"/>
    <col min="61" max="61" width="21.140625" bestFit="1" customWidth="1"/>
    <col min="62" max="62" width="12.7109375" customWidth="1"/>
    <col min="63" max="65" width="10.5703125" bestFit="1" customWidth="1"/>
    <col min="66" max="66" width="9.5703125" bestFit="1" customWidth="1"/>
    <col min="71" max="71" width="9.5703125" bestFit="1" customWidth="1"/>
    <col min="76" max="76" width="9.5703125" bestFit="1" customWidth="1"/>
    <col min="81" max="81" width="9.5703125" bestFit="1" customWidth="1"/>
  </cols>
  <sheetData>
    <row r="1" spans="1:85" ht="63">
      <c r="A1" s="678" t="s">
        <v>0</v>
      </c>
      <c r="B1" s="675" t="s">
        <v>1</v>
      </c>
      <c r="C1" s="542"/>
      <c r="D1" s="541"/>
      <c r="E1" s="111"/>
      <c r="F1" s="4" t="s">
        <v>2</v>
      </c>
      <c r="G1" s="4"/>
      <c r="H1" s="4"/>
      <c r="I1" s="4"/>
      <c r="J1" s="4"/>
      <c r="K1" s="4"/>
      <c r="L1" s="4"/>
      <c r="M1" s="4"/>
      <c r="N1" s="4"/>
      <c r="O1" s="4"/>
      <c r="P1" s="4"/>
      <c r="Q1" s="4"/>
      <c r="R1" s="4"/>
      <c r="S1" s="4"/>
      <c r="T1" s="4"/>
      <c r="U1" s="5" t="s">
        <v>2</v>
      </c>
      <c r="V1" s="5"/>
      <c r="W1" s="5" t="s">
        <v>2</v>
      </c>
      <c r="X1" s="5"/>
      <c r="Y1" s="5" t="s">
        <v>2</v>
      </c>
      <c r="Z1" s="5" t="s">
        <v>2</v>
      </c>
      <c r="AA1" s="5"/>
      <c r="AB1" s="5" t="s">
        <v>2</v>
      </c>
      <c r="AC1" s="5"/>
      <c r="AD1" s="5" t="s">
        <v>2</v>
      </c>
      <c r="AE1" s="5" t="s">
        <v>2</v>
      </c>
      <c r="AF1" s="5"/>
      <c r="AG1" s="6" t="s">
        <v>2</v>
      </c>
      <c r="AH1" s="6"/>
      <c r="AI1" s="6" t="s">
        <v>2</v>
      </c>
      <c r="AJ1" s="6" t="s">
        <v>2</v>
      </c>
      <c r="AK1" s="6"/>
      <c r="AL1" s="6" t="s">
        <v>2</v>
      </c>
      <c r="AM1" s="7"/>
      <c r="AN1" s="809"/>
      <c r="AO1" s="809"/>
      <c r="AP1" s="809"/>
      <c r="AQ1" s="809"/>
      <c r="AR1" s="809"/>
      <c r="AS1" s="809"/>
      <c r="AT1" s="809"/>
      <c r="AU1" s="809"/>
      <c r="AV1" s="809"/>
      <c r="AW1" s="809"/>
      <c r="AX1" s="809"/>
      <c r="AY1" s="809"/>
      <c r="AZ1" s="809"/>
      <c r="BA1" s="809"/>
      <c r="BB1" s="809"/>
      <c r="BC1" s="809"/>
      <c r="BD1" s="809"/>
      <c r="BE1" s="809"/>
      <c r="BF1" s="809"/>
      <c r="BG1" s="809"/>
      <c r="BH1" s="809"/>
      <c r="BI1" s="809"/>
      <c r="BJ1" s="809"/>
      <c r="BK1" s="809"/>
      <c r="BL1" s="809"/>
      <c r="BM1" s="809"/>
      <c r="BN1" s="809"/>
      <c r="BO1" s="809"/>
      <c r="BP1" s="809"/>
      <c r="BQ1" s="809"/>
      <c r="BR1" s="809"/>
      <c r="BS1" s="809"/>
      <c r="BT1" s="809"/>
      <c r="BU1" s="809"/>
      <c r="BV1" s="809"/>
      <c r="BW1" s="809"/>
      <c r="BX1" s="809"/>
      <c r="BY1" s="809"/>
      <c r="BZ1" s="809"/>
      <c r="CA1" s="809"/>
      <c r="CB1" s="809"/>
      <c r="CC1" s="809"/>
      <c r="CD1" s="809"/>
      <c r="CE1" s="809"/>
      <c r="CF1" s="809"/>
      <c r="CG1" s="809"/>
    </row>
    <row r="2" spans="1:85" ht="32.25">
      <c r="A2" s="543" t="s">
        <v>3</v>
      </c>
      <c r="B2" s="676" t="s">
        <v>4</v>
      </c>
      <c r="C2" s="105"/>
      <c r="D2" s="105"/>
      <c r="E2" s="105"/>
      <c r="F2" s="18"/>
      <c r="G2" s="18"/>
      <c r="H2" s="18"/>
      <c r="I2" s="18"/>
      <c r="J2" s="18"/>
      <c r="K2" s="18"/>
      <c r="L2" s="18"/>
      <c r="M2" s="18"/>
      <c r="N2" s="18"/>
      <c r="O2" s="18"/>
      <c r="P2" s="18"/>
      <c r="Q2" s="18"/>
      <c r="R2" s="18"/>
      <c r="S2" s="18"/>
      <c r="T2" s="18"/>
      <c r="U2" s="7"/>
      <c r="V2" s="7"/>
      <c r="W2" s="7"/>
      <c r="X2" s="7"/>
      <c r="Y2" s="7"/>
      <c r="Z2" s="7"/>
      <c r="AA2" s="7"/>
      <c r="AB2" s="7"/>
      <c r="AC2" s="7"/>
      <c r="AD2" s="7"/>
      <c r="AE2" s="7"/>
      <c r="AF2" s="7"/>
      <c r="AG2" s="7"/>
      <c r="AH2" s="7"/>
      <c r="AI2" s="7"/>
      <c r="AJ2" s="7"/>
      <c r="AK2" s="7"/>
      <c r="AL2" s="7"/>
      <c r="AM2" s="7"/>
      <c r="AN2" s="809"/>
      <c r="AO2" s="809"/>
      <c r="AP2" s="809"/>
      <c r="AQ2" s="809"/>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809"/>
      <c r="CF2" s="809"/>
      <c r="CG2" s="809"/>
    </row>
    <row r="3" spans="1:85" ht="31.5">
      <c r="A3" s="544" t="s">
        <v>5</v>
      </c>
      <c r="B3" s="677" t="s">
        <v>6</v>
      </c>
      <c r="C3" s="105"/>
      <c r="D3" s="105"/>
      <c r="E3" s="105"/>
      <c r="F3" s="18"/>
      <c r="G3" s="18"/>
      <c r="H3" s="18"/>
      <c r="I3" s="18"/>
      <c r="J3" s="18"/>
      <c r="K3" s="18"/>
      <c r="L3" s="18"/>
      <c r="M3" s="18"/>
      <c r="N3" s="18"/>
      <c r="O3" s="18"/>
      <c r="P3" s="18"/>
      <c r="Q3" s="18"/>
      <c r="R3" s="18"/>
      <c r="S3" s="18"/>
      <c r="T3" s="18"/>
      <c r="U3" s="7"/>
      <c r="V3" s="7"/>
      <c r="W3" s="7"/>
      <c r="X3" s="7"/>
      <c r="Y3" s="7"/>
      <c r="Z3" s="7"/>
      <c r="AA3" s="7"/>
      <c r="AB3" s="7"/>
      <c r="AC3" s="7"/>
      <c r="AD3" s="7"/>
      <c r="AE3" s="7"/>
      <c r="AF3" s="7"/>
      <c r="AG3" s="7"/>
      <c r="AH3" s="7"/>
      <c r="AI3" s="7"/>
      <c r="AJ3" s="7"/>
      <c r="AK3" s="7"/>
      <c r="AL3" s="7"/>
      <c r="AM3" s="7"/>
      <c r="AN3" s="809"/>
      <c r="AO3" s="809"/>
      <c r="AP3" s="809"/>
      <c r="AQ3" s="809"/>
      <c r="AR3" s="809"/>
      <c r="AS3" s="809"/>
      <c r="AT3" s="809"/>
      <c r="AU3" s="809"/>
      <c r="AV3" s="809"/>
      <c r="AW3" s="809"/>
      <c r="AX3" s="809"/>
      <c r="AY3" s="809"/>
      <c r="AZ3" s="809"/>
      <c r="BA3" s="809"/>
      <c r="BB3" s="809"/>
      <c r="BC3" s="809"/>
      <c r="BD3" s="809"/>
      <c r="BE3" s="809"/>
      <c r="BF3" s="809"/>
      <c r="BG3" s="809"/>
      <c r="BH3" s="809"/>
      <c r="BI3" s="809"/>
      <c r="BJ3" s="809"/>
      <c r="BK3" s="809"/>
      <c r="BL3" s="809"/>
      <c r="BM3" s="809"/>
      <c r="BN3" s="809"/>
      <c r="BO3" s="809"/>
      <c r="BP3" s="809"/>
      <c r="BQ3" s="809"/>
      <c r="BR3" s="809"/>
      <c r="BS3" s="809"/>
      <c r="BT3" s="809"/>
      <c r="BU3" s="809"/>
      <c r="BV3" s="809"/>
      <c r="BW3" s="809"/>
      <c r="BX3" s="809"/>
      <c r="BY3" s="809"/>
      <c r="BZ3" s="809"/>
      <c r="CA3" s="809"/>
      <c r="CB3" s="809"/>
      <c r="CC3" s="809"/>
      <c r="CD3" s="809"/>
      <c r="CE3" s="809"/>
      <c r="CF3" s="809"/>
      <c r="CG3" s="809"/>
    </row>
    <row r="4" spans="1:85" ht="31.5">
      <c r="A4" s="545" t="s">
        <v>7</v>
      </c>
      <c r="B4" s="676" t="s">
        <v>8</v>
      </c>
      <c r="C4" s="105"/>
      <c r="D4" s="105"/>
      <c r="E4" s="105"/>
      <c r="F4" s="18"/>
      <c r="G4" s="18"/>
      <c r="H4" s="18"/>
      <c r="I4" s="18"/>
      <c r="J4" s="18"/>
      <c r="K4" s="18"/>
      <c r="L4" s="18"/>
      <c r="M4" s="18"/>
      <c r="N4" s="18"/>
      <c r="O4" s="18"/>
      <c r="P4" s="18"/>
      <c r="Q4" s="18"/>
      <c r="R4" s="18"/>
      <c r="S4" s="18"/>
      <c r="T4" s="18"/>
      <c r="U4" s="7"/>
      <c r="V4" s="7"/>
      <c r="W4" s="7"/>
      <c r="X4" s="7"/>
      <c r="Y4" s="7"/>
      <c r="Z4" s="7"/>
      <c r="AA4" s="7"/>
      <c r="AB4" s="7"/>
      <c r="AC4" s="7"/>
      <c r="AD4" s="7"/>
      <c r="AE4" s="7"/>
      <c r="AF4" s="7"/>
      <c r="AG4" s="7"/>
      <c r="AH4" s="7"/>
      <c r="AI4" s="7"/>
      <c r="AJ4" s="7"/>
      <c r="AK4" s="7"/>
      <c r="AL4" s="7"/>
      <c r="AM4" s="7"/>
      <c r="AN4" s="809"/>
      <c r="AO4" s="809"/>
      <c r="AP4" s="809"/>
      <c r="AQ4" s="809"/>
      <c r="AR4" s="809"/>
      <c r="AS4" s="809"/>
      <c r="AT4" s="809"/>
      <c r="AU4" s="809"/>
      <c r="AV4" s="809"/>
      <c r="AW4" s="809"/>
      <c r="AX4" s="809"/>
      <c r="AY4" s="809"/>
      <c r="AZ4" s="809"/>
      <c r="BA4" s="809"/>
      <c r="BB4" s="809"/>
      <c r="BC4" s="809"/>
      <c r="BD4" s="809"/>
      <c r="BE4" s="809"/>
      <c r="BF4" s="809"/>
      <c r="BG4" s="809"/>
      <c r="BH4" s="809"/>
      <c r="BI4" s="809"/>
      <c r="BJ4" s="809"/>
      <c r="BK4" s="809"/>
      <c r="BL4" s="809"/>
      <c r="BM4" s="809"/>
      <c r="BN4" s="809"/>
      <c r="BO4" s="809"/>
      <c r="BP4" s="809"/>
      <c r="BQ4" s="809"/>
      <c r="BR4" s="809"/>
      <c r="BS4" s="809"/>
      <c r="BT4" s="809"/>
      <c r="BU4" s="809"/>
      <c r="BV4" s="809"/>
      <c r="BW4" s="809"/>
      <c r="BX4" s="809"/>
      <c r="BY4" s="809"/>
      <c r="BZ4" s="809"/>
      <c r="CA4" s="809"/>
      <c r="CB4" s="809"/>
      <c r="CC4" s="809"/>
      <c r="CD4" s="809"/>
      <c r="CE4" s="809"/>
      <c r="CF4" s="809"/>
      <c r="CG4" s="809"/>
    </row>
    <row r="5" spans="1:85">
      <c r="A5" s="22"/>
      <c r="S5" s="19"/>
      <c r="U5" s="72"/>
      <c r="V5" s="23"/>
      <c r="W5" s="23"/>
      <c r="X5" s="23"/>
      <c r="Y5" s="23"/>
      <c r="Z5" s="23"/>
      <c r="AA5" s="23"/>
      <c r="AB5" s="23"/>
      <c r="AC5" s="23"/>
      <c r="AD5" s="23"/>
      <c r="AE5" s="23"/>
      <c r="AF5" s="23"/>
      <c r="AG5" s="23"/>
      <c r="AH5" s="23"/>
      <c r="AI5" s="23"/>
      <c r="AJ5" s="23"/>
      <c r="AK5" s="23"/>
      <c r="AL5" s="23"/>
      <c r="AM5" s="7"/>
      <c r="AN5" s="809"/>
      <c r="AO5" s="809"/>
      <c r="AP5" s="809"/>
      <c r="AQ5" s="809"/>
      <c r="AR5" s="809"/>
      <c r="AS5" s="809"/>
      <c r="AT5" s="809"/>
      <c r="AU5" s="809"/>
      <c r="AV5" s="809"/>
      <c r="AW5" s="809"/>
      <c r="AX5" s="809"/>
      <c r="AY5" s="809"/>
      <c r="AZ5" s="809"/>
      <c r="BA5" s="809"/>
      <c r="BB5" s="809"/>
      <c r="BC5" s="809"/>
      <c r="BD5" s="809"/>
      <c r="BE5" s="809"/>
      <c r="BF5" s="809"/>
      <c r="BG5" s="809"/>
      <c r="BH5" s="809"/>
      <c r="BI5" s="809"/>
      <c r="BJ5" s="809"/>
      <c r="BK5" s="809"/>
      <c r="BL5" s="809"/>
      <c r="BM5" s="809"/>
      <c r="BN5" s="809"/>
      <c r="BO5" s="809"/>
      <c r="BP5" s="809"/>
      <c r="BQ5" s="809"/>
      <c r="BR5" s="809"/>
      <c r="BS5" s="809"/>
      <c r="BT5" s="809"/>
      <c r="BU5" s="809"/>
      <c r="BV5" s="809"/>
      <c r="BW5" s="809"/>
      <c r="BX5" s="809"/>
      <c r="BY5" s="809"/>
      <c r="BZ5" s="809"/>
      <c r="CA5" s="809"/>
      <c r="CB5" s="809"/>
      <c r="CC5" s="809"/>
      <c r="CD5" s="809"/>
      <c r="CE5" s="809"/>
      <c r="CF5" s="809"/>
      <c r="CG5" s="809"/>
    </row>
    <row r="6" spans="1:85">
      <c r="A6" s="22"/>
      <c r="S6" s="19"/>
      <c r="U6" s="72"/>
      <c r="V6" s="23"/>
      <c r="W6" s="23"/>
      <c r="X6" s="23"/>
      <c r="Y6" s="23"/>
      <c r="Z6" s="23"/>
      <c r="AA6" s="23"/>
      <c r="AB6" s="23"/>
      <c r="AC6" s="23"/>
      <c r="AD6" s="23"/>
      <c r="AE6" s="23"/>
      <c r="AF6" s="23"/>
      <c r="AG6" s="23"/>
      <c r="AH6" s="23"/>
      <c r="AI6" s="23"/>
      <c r="AJ6" s="23"/>
      <c r="AK6" s="23"/>
      <c r="AL6" s="23"/>
      <c r="AM6" s="7"/>
      <c r="AN6" s="809"/>
      <c r="AO6" s="809"/>
      <c r="AP6" s="809"/>
      <c r="AQ6" s="809"/>
      <c r="AR6" s="809"/>
      <c r="AS6" s="809"/>
      <c r="AT6" s="809"/>
      <c r="AU6" s="809"/>
      <c r="AV6" s="809"/>
      <c r="AW6" s="809"/>
      <c r="AX6" s="809"/>
      <c r="AY6" s="809"/>
      <c r="AZ6" s="809"/>
      <c r="BA6" s="809"/>
      <c r="BB6" s="809"/>
      <c r="BC6" s="809"/>
      <c r="BD6" s="809"/>
      <c r="BE6" s="809"/>
      <c r="BF6" s="809"/>
      <c r="BG6" s="809"/>
      <c r="BH6" s="809"/>
      <c r="BI6" s="809"/>
      <c r="BJ6" s="809"/>
      <c r="BK6" s="809"/>
      <c r="BL6" s="809"/>
      <c r="BM6" s="809"/>
      <c r="BN6" s="809"/>
      <c r="BO6" s="809"/>
      <c r="BP6" s="809"/>
      <c r="BQ6" s="809"/>
      <c r="BR6" s="809"/>
      <c r="BS6" s="809"/>
      <c r="BT6" s="809"/>
      <c r="BU6" s="809"/>
      <c r="BV6" s="809"/>
      <c r="BW6" s="809"/>
      <c r="BX6" s="809"/>
      <c r="BY6" s="809"/>
      <c r="BZ6" s="809"/>
      <c r="CA6" s="809"/>
      <c r="CB6" s="809"/>
      <c r="CC6" s="809"/>
      <c r="CD6" s="809"/>
      <c r="CE6" s="809"/>
      <c r="CF6" s="809"/>
      <c r="CG6" s="809"/>
    </row>
    <row r="7" spans="1:85" ht="15.75">
      <c r="A7" s="22"/>
      <c r="B7" s="674"/>
      <c r="U7" s="160"/>
      <c r="V7" s="23"/>
      <c r="W7" s="23"/>
      <c r="X7" s="23"/>
      <c r="Y7" s="23"/>
      <c r="Z7" s="23"/>
      <c r="AA7" s="23"/>
      <c r="AB7" s="23"/>
      <c r="AC7" s="23"/>
      <c r="AD7" s="23"/>
      <c r="AE7" s="23"/>
      <c r="AF7" s="23"/>
      <c r="AG7" s="23"/>
      <c r="AH7" s="23"/>
      <c r="AI7" s="23"/>
      <c r="AJ7" s="23"/>
      <c r="AK7" s="23"/>
      <c r="AL7" s="23"/>
      <c r="AM7" s="7"/>
      <c r="AN7" s="809"/>
      <c r="AO7" s="809"/>
      <c r="AP7" s="809"/>
      <c r="AQ7" s="809"/>
      <c r="AR7" s="809"/>
      <c r="AS7" s="809"/>
      <c r="AT7" s="809"/>
      <c r="AU7" s="809"/>
      <c r="AV7" s="809"/>
      <c r="AW7" s="809"/>
      <c r="AX7" s="809"/>
      <c r="AY7" s="809"/>
      <c r="AZ7" s="809"/>
      <c r="BA7" s="809"/>
      <c r="BB7" s="809"/>
      <c r="BC7" s="809"/>
      <c r="BD7" s="809"/>
      <c r="BE7" s="809"/>
      <c r="BF7" s="809"/>
      <c r="BG7" s="809"/>
      <c r="BH7" s="809"/>
      <c r="BI7" s="809"/>
      <c r="BJ7" s="809"/>
      <c r="BK7" s="809"/>
      <c r="BL7" s="809"/>
      <c r="BM7" s="809"/>
      <c r="BN7" s="809"/>
      <c r="BO7" s="809"/>
      <c r="BP7" s="809"/>
      <c r="BQ7" s="809"/>
      <c r="BR7" s="809"/>
      <c r="BS7" s="809"/>
      <c r="BT7" s="809"/>
      <c r="BU7" s="809"/>
      <c r="BV7" s="809"/>
      <c r="BW7" s="809"/>
      <c r="BX7" s="809"/>
      <c r="BY7" s="809"/>
      <c r="BZ7" s="809"/>
      <c r="CA7" s="809"/>
      <c r="CB7" s="809"/>
      <c r="CC7" s="809"/>
      <c r="CD7" s="809"/>
      <c r="CE7" s="809"/>
      <c r="CF7" s="809"/>
      <c r="CG7" s="809"/>
    </row>
    <row r="8" spans="1:85" ht="15.75">
      <c r="A8" s="22"/>
      <c r="B8" s="674"/>
      <c r="U8" s="160"/>
      <c r="V8" s="23"/>
      <c r="W8" s="23"/>
      <c r="X8" s="23"/>
      <c r="Y8" s="23"/>
      <c r="Z8" s="23"/>
      <c r="AA8" s="23"/>
      <c r="AB8" s="23"/>
      <c r="AC8" s="23"/>
      <c r="AD8" s="23"/>
      <c r="AE8" s="23"/>
      <c r="AF8" s="23"/>
      <c r="AG8" s="23"/>
      <c r="AH8" s="23"/>
      <c r="AI8" s="23"/>
      <c r="AJ8" s="23"/>
      <c r="AK8" s="23"/>
      <c r="AL8" s="23"/>
      <c r="AM8" s="7"/>
      <c r="AN8" s="809"/>
      <c r="AO8" s="809"/>
      <c r="AP8" s="809"/>
      <c r="AQ8" s="809"/>
      <c r="AR8" s="809"/>
      <c r="AS8" s="809"/>
      <c r="AT8" s="809"/>
      <c r="AU8" s="809"/>
      <c r="AV8" s="809"/>
      <c r="AW8" s="809"/>
      <c r="AX8" s="809"/>
      <c r="AY8" s="809"/>
      <c r="AZ8" s="809"/>
      <c r="BA8" s="809"/>
      <c r="BB8" s="809"/>
      <c r="BC8" s="809"/>
      <c r="BD8" s="809"/>
      <c r="BE8" s="809"/>
      <c r="BF8" s="809"/>
      <c r="BG8" s="809"/>
      <c r="BH8" s="809"/>
      <c r="BI8" s="809"/>
      <c r="BJ8" s="809"/>
      <c r="BK8" s="809"/>
      <c r="BL8" s="809"/>
      <c r="BM8" s="809"/>
      <c r="BN8" s="809"/>
      <c r="BO8" s="809"/>
      <c r="BP8" s="809"/>
      <c r="BQ8" s="809"/>
      <c r="BR8" s="809"/>
      <c r="BS8" s="809"/>
      <c r="BT8" s="809"/>
      <c r="BU8" s="809"/>
      <c r="BV8" s="809"/>
      <c r="BW8" s="809"/>
      <c r="BX8" s="809"/>
      <c r="BY8" s="809"/>
      <c r="BZ8" s="809"/>
      <c r="CA8" s="809"/>
      <c r="CB8" s="809"/>
      <c r="CC8" s="809"/>
      <c r="CD8" s="809"/>
      <c r="CE8" s="809"/>
      <c r="CF8" s="809"/>
      <c r="CG8" s="809"/>
    </row>
    <row r="9" spans="1:85">
      <c r="A9" s="22"/>
      <c r="U9" s="160"/>
      <c r="V9" s="23"/>
      <c r="W9" s="23"/>
      <c r="X9" s="23"/>
      <c r="Y9" s="23"/>
      <c r="Z9" s="23"/>
      <c r="AA9" s="23"/>
      <c r="AB9" s="23"/>
      <c r="AC9" s="23"/>
      <c r="AD9" s="23"/>
      <c r="AE9" s="23"/>
      <c r="AF9" s="23"/>
      <c r="AG9" s="23"/>
      <c r="AH9" s="23"/>
      <c r="AI9" s="23"/>
      <c r="AJ9" s="23"/>
      <c r="AK9" s="23"/>
      <c r="AL9" s="23"/>
      <c r="AM9" s="7"/>
      <c r="AN9" s="809"/>
      <c r="AO9" s="809"/>
      <c r="AP9" s="809"/>
      <c r="AQ9" s="809"/>
      <c r="AR9" s="809"/>
      <c r="AS9" s="809"/>
      <c r="AT9" s="809"/>
      <c r="AU9" s="809"/>
      <c r="AV9" s="809"/>
      <c r="AW9" s="809"/>
      <c r="AX9" s="809"/>
      <c r="AY9" s="809"/>
      <c r="AZ9" s="809"/>
      <c r="BA9" s="809"/>
      <c r="BB9" s="809"/>
      <c r="BC9" s="809"/>
      <c r="BD9" s="809"/>
      <c r="BE9" s="809"/>
      <c r="BF9" s="809"/>
      <c r="BG9" s="809"/>
      <c r="BH9" s="809"/>
      <c r="BI9" s="809"/>
      <c r="BJ9" s="809"/>
      <c r="BK9" s="809"/>
      <c r="BL9" s="809"/>
      <c r="BM9" s="809"/>
      <c r="BN9" s="809"/>
      <c r="BO9" s="809"/>
      <c r="BP9" s="809"/>
      <c r="BQ9" s="809"/>
      <c r="BR9" s="809"/>
      <c r="BS9" s="809"/>
      <c r="BT9" s="809"/>
      <c r="BU9" s="809"/>
      <c r="BV9" s="809"/>
      <c r="BW9" s="809"/>
      <c r="BX9" s="809"/>
      <c r="BY9" s="809"/>
      <c r="BZ9" s="809"/>
      <c r="CA9" s="809"/>
      <c r="CB9" s="809"/>
      <c r="CC9" s="809"/>
      <c r="CD9" s="809"/>
      <c r="CE9" s="809"/>
      <c r="CF9" s="809"/>
      <c r="CG9" s="809"/>
    </row>
    <row r="10" spans="1:85" ht="60.75">
      <c r="A10" s="24" t="s">
        <v>9</v>
      </c>
      <c r="B10" s="810">
        <v>2023</v>
      </c>
      <c r="C10" s="811" t="s">
        <v>10</v>
      </c>
      <c r="D10" s="811"/>
      <c r="E10" s="25" t="s">
        <v>11</v>
      </c>
      <c r="F10" s="26" t="s">
        <v>12</v>
      </c>
      <c r="G10" s="25" t="s">
        <v>13</v>
      </c>
      <c r="H10" s="26" t="s">
        <v>14</v>
      </c>
      <c r="I10" s="27" t="s">
        <v>15</v>
      </c>
      <c r="J10" s="28" t="s">
        <v>16</v>
      </c>
      <c r="K10" s="78" t="s">
        <v>17</v>
      </c>
      <c r="L10" s="158" t="s">
        <v>2</v>
      </c>
      <c r="M10" s="7"/>
      <c r="N10" s="161"/>
      <c r="O10" s="162"/>
      <c r="P10" s="163"/>
      <c r="Q10" s="7"/>
      <c r="R10" s="164"/>
      <c r="S10" s="7"/>
      <c r="T10" s="164"/>
      <c r="U10" s="159" t="s">
        <v>2</v>
      </c>
      <c r="V10" s="21"/>
      <c r="W10" s="21" t="s">
        <v>2</v>
      </c>
      <c r="X10" s="21"/>
      <c r="Y10" s="21" t="s">
        <v>2</v>
      </c>
      <c r="Z10" s="21" t="s">
        <v>2</v>
      </c>
      <c r="AA10" s="21"/>
      <c r="AB10" s="21" t="s">
        <v>2</v>
      </c>
      <c r="AC10" s="21"/>
      <c r="AD10" s="21" t="s">
        <v>2</v>
      </c>
      <c r="AE10" s="21" t="s">
        <v>2</v>
      </c>
      <c r="AF10" s="21"/>
      <c r="AG10" s="21" t="s">
        <v>2</v>
      </c>
      <c r="AH10" s="21"/>
      <c r="AI10" s="21" t="s">
        <v>2</v>
      </c>
      <c r="AJ10" s="21" t="s">
        <v>2</v>
      </c>
      <c r="AK10" s="21"/>
      <c r="AL10" s="21" t="s">
        <v>2</v>
      </c>
      <c r="AM10" s="7"/>
      <c r="AN10" s="809"/>
      <c r="AO10" s="809"/>
      <c r="AP10" s="809"/>
      <c r="AQ10" s="809"/>
      <c r="AR10" s="809"/>
      <c r="AS10" s="809"/>
      <c r="AT10" s="809"/>
      <c r="AU10" s="809"/>
      <c r="AV10" s="809"/>
      <c r="AW10" s="809"/>
      <c r="AX10" s="809"/>
      <c r="AY10" s="809"/>
      <c r="AZ10" s="809"/>
      <c r="BA10" s="809"/>
      <c r="BB10" s="809"/>
      <c r="BC10" s="809"/>
      <c r="BD10" s="809"/>
      <c r="BE10" s="809"/>
      <c r="BF10" s="809"/>
      <c r="BG10" s="809"/>
      <c r="BH10" s="809"/>
      <c r="BI10" s="809"/>
      <c r="BJ10" s="809"/>
      <c r="BK10" s="809"/>
      <c r="BL10" s="809"/>
      <c r="BM10" s="809"/>
      <c r="BN10" s="809"/>
      <c r="BO10" s="809"/>
      <c r="BP10" s="809"/>
      <c r="BQ10" s="809"/>
      <c r="BR10" s="809"/>
      <c r="BS10" s="809"/>
      <c r="BT10" s="809"/>
      <c r="BU10" s="809"/>
      <c r="BV10" s="809"/>
      <c r="BW10" s="809"/>
      <c r="BX10" s="809"/>
      <c r="BY10" s="809"/>
      <c r="BZ10" s="809"/>
      <c r="CA10" s="809"/>
      <c r="CB10" s="809"/>
      <c r="CC10" s="809"/>
      <c r="CD10" s="809"/>
      <c r="CE10" s="809"/>
      <c r="CF10" s="809"/>
      <c r="CG10" s="809"/>
    </row>
    <row r="11" spans="1:85" hidden="1">
      <c r="A11"/>
      <c r="U11" s="17"/>
      <c r="V11" s="3"/>
      <c r="W11" s="3"/>
      <c r="X11" s="3"/>
      <c r="Y11" s="3"/>
      <c r="Z11" s="3"/>
      <c r="AA11" s="3"/>
      <c r="AB11" s="3"/>
      <c r="AC11" s="3"/>
      <c r="AD11" s="3"/>
      <c r="AE11" s="3"/>
      <c r="AF11" s="3"/>
      <c r="AG11" s="7"/>
      <c r="AH11" s="7"/>
      <c r="AI11" s="7"/>
      <c r="AJ11" s="7"/>
      <c r="AK11" s="7"/>
      <c r="AL11" s="7"/>
      <c r="AM11" s="7"/>
      <c r="AN11" s="809"/>
      <c r="AO11" s="809"/>
      <c r="AP11" s="809"/>
      <c r="AQ11" s="809"/>
      <c r="AR11" s="809"/>
      <c r="AS11" s="809"/>
      <c r="AT11" s="809"/>
      <c r="AU11" s="809"/>
      <c r="AV11" s="809"/>
      <c r="AW11" s="809"/>
      <c r="AX11" s="809"/>
      <c r="AY11" s="809"/>
      <c r="AZ11" s="809"/>
      <c r="BA11" s="809"/>
      <c r="BB11" s="809"/>
      <c r="BC11" s="809"/>
      <c r="BD11" s="809"/>
      <c r="BE11" s="809"/>
      <c r="BF11" s="809"/>
      <c r="BG11" s="809"/>
      <c r="BH11" s="809"/>
      <c r="BI11" s="809"/>
      <c r="BJ11" s="809"/>
      <c r="BK11" s="809"/>
      <c r="BL11" s="809"/>
      <c r="BM11" s="809"/>
      <c r="BN11" s="809"/>
      <c r="BO11" s="809"/>
      <c r="BP11" s="809"/>
      <c r="BQ11" s="809"/>
      <c r="BR11" s="809"/>
      <c r="BS11" s="809"/>
      <c r="BT11" s="809"/>
      <c r="BU11" s="809"/>
      <c r="BV11" s="809"/>
      <c r="BW11" s="809"/>
      <c r="BX11" s="809"/>
      <c r="BY11" s="809"/>
      <c r="BZ11" s="809"/>
      <c r="CA11" s="809"/>
      <c r="CB11" s="809"/>
      <c r="CC11" s="809"/>
      <c r="CD11" s="809"/>
      <c r="CE11" s="809"/>
      <c r="CF11" s="809"/>
      <c r="CG11" s="809"/>
    </row>
    <row r="12" spans="1:85">
      <c r="A12"/>
      <c r="U12" s="17"/>
      <c r="V12" s="3"/>
      <c r="W12" s="3"/>
      <c r="X12" s="3"/>
      <c r="Y12" s="3"/>
      <c r="Z12" s="3"/>
      <c r="AA12" s="3"/>
      <c r="AB12" s="3"/>
      <c r="AC12" s="3"/>
      <c r="AD12" s="3"/>
      <c r="AE12" s="3"/>
      <c r="AF12" s="3"/>
      <c r="AG12" s="7"/>
      <c r="AH12" s="7"/>
      <c r="AI12" s="7"/>
      <c r="AJ12" s="7"/>
      <c r="AK12" s="7"/>
      <c r="AL12" s="7"/>
      <c r="AM12" s="7"/>
      <c r="AN12" s="809"/>
      <c r="AO12" s="809"/>
      <c r="AP12" s="809"/>
      <c r="AQ12" s="809"/>
      <c r="AR12" s="809"/>
      <c r="AS12" s="809"/>
      <c r="AT12" s="809"/>
      <c r="AU12" s="809"/>
      <c r="AV12" s="809"/>
      <c r="AW12" s="809"/>
      <c r="AX12" s="809"/>
      <c r="AY12" s="809"/>
      <c r="AZ12" s="809"/>
      <c r="BA12" s="809"/>
      <c r="BB12" s="809"/>
      <c r="BC12" s="809"/>
      <c r="BD12" s="809"/>
      <c r="BE12" s="809"/>
      <c r="BF12" s="809"/>
      <c r="BG12" s="809"/>
      <c r="BH12" s="809"/>
      <c r="BI12" s="809"/>
      <c r="BJ12" s="809"/>
      <c r="BK12" s="809"/>
      <c r="BL12" s="809"/>
      <c r="BM12" s="809"/>
      <c r="BN12" s="809"/>
      <c r="BO12" s="809"/>
      <c r="BP12" s="809"/>
      <c r="BQ12" s="809"/>
      <c r="BR12" s="809"/>
      <c r="BS12" s="809"/>
      <c r="BT12" s="809"/>
      <c r="BU12" s="809"/>
      <c r="BV12" s="809"/>
      <c r="BW12" s="809"/>
      <c r="BX12" s="809"/>
      <c r="BY12" s="809"/>
      <c r="BZ12" s="809"/>
      <c r="CA12" s="809"/>
      <c r="CB12" s="809"/>
      <c r="CC12" s="809"/>
      <c r="CD12" s="809"/>
      <c r="CE12" s="809"/>
      <c r="CF12" s="809"/>
      <c r="CG12" s="809"/>
    </row>
    <row r="13" spans="1:85" ht="18.75">
      <c r="A13" s="610" t="s">
        <v>18</v>
      </c>
      <c r="U13" s="17"/>
      <c r="V13" s="3"/>
      <c r="W13" s="3"/>
      <c r="X13" s="3"/>
      <c r="Y13" s="3"/>
      <c r="Z13" s="3"/>
      <c r="AA13" s="3"/>
      <c r="AB13" s="3"/>
      <c r="AC13" s="3"/>
      <c r="AD13" s="3"/>
      <c r="AE13" s="3"/>
      <c r="AF13" s="3"/>
      <c r="AG13" s="7"/>
      <c r="AH13" s="7"/>
      <c r="AI13" s="7"/>
      <c r="AJ13" s="7"/>
      <c r="AK13" s="7"/>
      <c r="AL13" s="7"/>
      <c r="AM13" s="7"/>
      <c r="AN13" s="809"/>
      <c r="AO13" s="809"/>
      <c r="AP13" s="809"/>
      <c r="AQ13" s="809"/>
      <c r="AR13" s="809"/>
      <c r="AS13" s="809"/>
      <c r="AT13" s="809"/>
      <c r="AU13" s="809"/>
      <c r="AV13" s="809"/>
      <c r="AW13" s="809"/>
      <c r="AX13" s="809"/>
      <c r="AY13" s="809"/>
      <c r="AZ13" s="809"/>
      <c r="BA13" s="809"/>
      <c r="BB13" s="809"/>
      <c r="BC13" s="809"/>
      <c r="BD13" s="809"/>
      <c r="BE13" s="809"/>
      <c r="BF13" s="809"/>
      <c r="BG13" s="809"/>
      <c r="BH13" s="809"/>
      <c r="BI13" s="809"/>
      <c r="BJ13" s="809"/>
      <c r="BK13" s="809"/>
      <c r="BL13" s="809"/>
      <c r="BM13" s="809"/>
      <c r="BN13" s="809"/>
      <c r="BO13" s="809"/>
      <c r="BP13" s="809"/>
      <c r="BQ13" s="809"/>
      <c r="BR13" s="809"/>
      <c r="BS13" s="809"/>
      <c r="BT13" s="809"/>
      <c r="BU13" s="809"/>
      <c r="BV13" s="809"/>
      <c r="BW13" s="809"/>
      <c r="BX13" s="809"/>
      <c r="BY13" s="809"/>
      <c r="BZ13" s="809"/>
      <c r="CA13" s="809"/>
      <c r="CB13" s="809"/>
      <c r="CC13" s="809"/>
      <c r="CD13" s="809"/>
      <c r="CE13" s="809"/>
      <c r="CF13" s="809"/>
      <c r="CG13" s="809"/>
    </row>
    <row r="14" spans="1:85" ht="18.75">
      <c r="A14" s="172" t="s">
        <v>19</v>
      </c>
      <c r="U14" s="17"/>
      <c r="V14" s="3"/>
      <c r="W14" s="3"/>
      <c r="X14" s="3"/>
      <c r="Y14" s="3"/>
      <c r="Z14" s="3"/>
      <c r="AA14" s="3"/>
      <c r="AB14" s="3"/>
      <c r="AC14" s="3"/>
      <c r="AD14" s="3"/>
      <c r="AE14" s="3"/>
      <c r="AF14" s="3"/>
      <c r="AG14" s="7"/>
      <c r="AH14" s="7"/>
      <c r="AI14" s="7"/>
      <c r="AJ14" s="7"/>
      <c r="AK14" s="7"/>
      <c r="AL14" s="7"/>
      <c r="AM14" s="7"/>
      <c r="AN14" s="809"/>
      <c r="AO14" s="809"/>
      <c r="AP14" s="809"/>
      <c r="AQ14" s="809"/>
      <c r="AR14" s="809"/>
      <c r="AS14" s="809"/>
      <c r="AT14" s="809"/>
      <c r="AU14" s="809"/>
      <c r="AV14" s="809"/>
      <c r="AW14" s="809"/>
      <c r="AX14" s="809"/>
      <c r="AY14" s="809"/>
      <c r="AZ14" s="809"/>
      <c r="BA14" s="809"/>
      <c r="BB14" s="809"/>
      <c r="BC14" s="809"/>
      <c r="BD14" s="809"/>
      <c r="BE14" s="809"/>
      <c r="BF14" s="809"/>
      <c r="BG14" s="809"/>
      <c r="BH14" s="809"/>
      <c r="BI14" s="809"/>
      <c r="BJ14" s="809"/>
      <c r="BK14" s="809"/>
      <c r="BL14" s="809"/>
      <c r="BM14" s="809"/>
      <c r="BN14" s="809"/>
      <c r="BO14" s="809"/>
      <c r="BP14" s="809"/>
      <c r="BQ14" s="809"/>
      <c r="BR14" s="809"/>
      <c r="BS14" s="809"/>
      <c r="BT14" s="809"/>
      <c r="BU14" s="809"/>
      <c r="BV14" s="809"/>
      <c r="BW14" s="809"/>
      <c r="BX14" s="809"/>
      <c r="BY14" s="809"/>
      <c r="BZ14" s="809"/>
      <c r="CA14" s="809"/>
      <c r="CB14" s="809"/>
      <c r="CC14" s="809"/>
      <c r="CD14" s="809"/>
      <c r="CE14" s="809"/>
      <c r="CF14" s="809"/>
      <c r="CG14" s="809"/>
    </row>
    <row r="15" spans="1:85" ht="18.75">
      <c r="A15" s="173" t="s">
        <v>20</v>
      </c>
      <c r="U15" s="17"/>
      <c r="V15" s="3"/>
      <c r="W15" s="3"/>
      <c r="X15" s="3"/>
      <c r="Y15" s="3"/>
      <c r="Z15" s="3"/>
      <c r="AA15" s="3"/>
      <c r="AB15" s="3"/>
      <c r="AC15" s="3"/>
      <c r="AD15" s="3"/>
      <c r="AE15" s="3"/>
      <c r="AF15" s="3"/>
      <c r="AG15" s="7"/>
      <c r="AH15" s="7"/>
      <c r="AI15" s="7"/>
      <c r="AJ15" s="7"/>
      <c r="AK15" s="7"/>
      <c r="AL15" s="7"/>
      <c r="AM15" s="7"/>
      <c r="AN15" s="809"/>
      <c r="AO15" s="809"/>
      <c r="AP15" s="809"/>
      <c r="AQ15" s="809"/>
      <c r="AR15" s="809"/>
      <c r="AS15" s="809"/>
      <c r="AT15" s="809"/>
      <c r="AU15" s="809"/>
      <c r="AV15" s="809"/>
      <c r="AW15" s="809"/>
      <c r="AX15" s="809"/>
      <c r="AY15" s="809"/>
      <c r="AZ15" s="809"/>
      <c r="BA15" s="809"/>
      <c r="BB15" s="809"/>
      <c r="BC15" s="809"/>
      <c r="BD15" s="809"/>
      <c r="BE15" s="809"/>
      <c r="BF15" s="809"/>
      <c r="BG15" s="809"/>
      <c r="BH15" s="809"/>
      <c r="BI15" s="809"/>
      <c r="BJ15" s="809"/>
      <c r="BK15" s="809"/>
      <c r="BL15" s="809"/>
      <c r="BM15" s="809"/>
      <c r="BN15" s="809"/>
      <c r="BO15" s="809"/>
      <c r="BP15" s="809"/>
      <c r="BQ15" s="809"/>
      <c r="BR15" s="809"/>
      <c r="BS15" s="809"/>
      <c r="BT15" s="809"/>
      <c r="BU15" s="809"/>
      <c r="BV15" s="809"/>
      <c r="BW15" s="809"/>
      <c r="BX15" s="809"/>
      <c r="BY15" s="809"/>
      <c r="BZ15" s="809"/>
      <c r="CA15" s="809"/>
      <c r="CB15" s="809"/>
      <c r="CC15" s="809"/>
      <c r="CD15" s="809"/>
      <c r="CE15" s="809"/>
      <c r="CF15" s="809"/>
      <c r="CG15" s="809"/>
    </row>
    <row r="16" spans="1:85" ht="18.75">
      <c r="A16" s="174" t="s">
        <v>21</v>
      </c>
      <c r="U16" s="17"/>
      <c r="V16" s="3"/>
      <c r="W16" s="3"/>
      <c r="X16" s="3"/>
      <c r="Y16" s="3"/>
      <c r="Z16" s="3"/>
      <c r="AA16" s="3"/>
      <c r="AB16" s="3"/>
      <c r="AC16" s="3"/>
      <c r="AD16" s="3"/>
      <c r="AE16" s="3"/>
      <c r="AF16" s="3"/>
      <c r="AG16" s="7"/>
      <c r="AH16" s="7"/>
      <c r="AI16" s="7"/>
      <c r="AJ16" s="7"/>
      <c r="AK16" s="7"/>
      <c r="AL16" s="7"/>
      <c r="AM16" s="7"/>
      <c r="AN16" s="809"/>
      <c r="AO16" s="809"/>
      <c r="AP16" s="809"/>
      <c r="AQ16" s="809"/>
      <c r="AR16" s="809"/>
      <c r="AS16" s="809"/>
      <c r="AT16" s="809"/>
      <c r="AU16" s="809"/>
      <c r="AV16" s="809"/>
      <c r="AW16" s="809"/>
      <c r="AX16" s="809"/>
      <c r="AY16" s="809"/>
      <c r="AZ16" s="809"/>
      <c r="BA16" s="809"/>
      <c r="BB16" s="809"/>
      <c r="BC16" s="809"/>
      <c r="BD16" s="809"/>
      <c r="BE16" s="809"/>
      <c r="BF16" s="809"/>
      <c r="BG16" s="809"/>
      <c r="BH16" s="809"/>
      <c r="BI16" s="809"/>
      <c r="BJ16" s="809"/>
      <c r="BK16" s="809"/>
      <c r="BL16" s="809"/>
      <c r="BM16" s="809"/>
      <c r="BN16" s="809"/>
      <c r="BO16" s="809"/>
      <c r="BP16" s="809"/>
      <c r="BQ16" s="809"/>
      <c r="BR16" s="809"/>
      <c r="BS16" s="809"/>
      <c r="BT16" s="809"/>
      <c r="BU16" s="809"/>
      <c r="BV16" s="809"/>
      <c r="BW16" s="809"/>
      <c r="BX16" s="809"/>
      <c r="BY16" s="809"/>
      <c r="BZ16" s="809"/>
      <c r="CA16" s="809"/>
      <c r="CB16" s="809"/>
      <c r="CC16" s="809"/>
      <c r="CD16" s="809"/>
      <c r="CE16" s="809"/>
      <c r="CF16" s="809"/>
      <c r="CG16" s="809"/>
    </row>
    <row r="17" spans="1:86" ht="18.75">
      <c r="A17" s="480" t="s">
        <v>22</v>
      </c>
      <c r="U17" s="17"/>
      <c r="V17" s="3"/>
      <c r="W17" s="3"/>
      <c r="X17" s="3"/>
      <c r="Y17" s="3"/>
      <c r="Z17" s="3"/>
      <c r="AA17" s="3"/>
      <c r="AB17" s="3"/>
      <c r="AC17" s="3"/>
      <c r="AD17" s="3"/>
      <c r="AE17" s="3"/>
      <c r="AF17" s="3"/>
      <c r="AG17" s="7"/>
      <c r="AH17" s="7"/>
      <c r="AI17" s="7"/>
      <c r="AJ17" s="7"/>
      <c r="AK17" s="7"/>
      <c r="AL17" s="7"/>
      <c r="AM17" s="7"/>
      <c r="AN17" s="809"/>
      <c r="AO17" s="809"/>
      <c r="AP17" s="809"/>
      <c r="AQ17" s="809"/>
      <c r="AR17" s="809"/>
      <c r="AS17" s="809"/>
      <c r="AT17" s="809"/>
      <c r="AU17" s="809"/>
      <c r="AV17" s="809"/>
      <c r="AW17" s="809"/>
      <c r="AX17" s="809"/>
      <c r="AY17" s="809"/>
      <c r="AZ17" s="809"/>
      <c r="BA17" s="809"/>
      <c r="BB17" s="809"/>
      <c r="BC17" s="809"/>
      <c r="BD17" s="809"/>
      <c r="BE17" s="809"/>
      <c r="BF17" s="809"/>
      <c r="BG17" s="809"/>
      <c r="BH17" s="809"/>
      <c r="BI17" s="809"/>
      <c r="BJ17" s="809"/>
      <c r="BK17" s="809"/>
      <c r="BL17" s="809"/>
      <c r="BM17" s="809"/>
      <c r="BN17" s="809"/>
      <c r="BO17" s="809"/>
      <c r="BP17" s="809"/>
      <c r="BQ17" s="809"/>
      <c r="BR17" s="809"/>
      <c r="BS17" s="809"/>
      <c r="BT17" s="809"/>
      <c r="BU17" s="809"/>
      <c r="BV17" s="809"/>
      <c r="BW17" s="809"/>
      <c r="BX17" s="809"/>
      <c r="BY17" s="809"/>
      <c r="BZ17" s="809"/>
      <c r="CA17" s="809"/>
      <c r="CB17" s="809"/>
      <c r="CC17" s="809"/>
      <c r="CD17" s="809"/>
      <c r="CE17" s="809"/>
      <c r="CF17" s="809"/>
      <c r="CG17" s="809"/>
    </row>
    <row r="18" spans="1:86" ht="18.75">
      <c r="A18" s="611" t="s">
        <v>23</v>
      </c>
      <c r="U18" s="17"/>
      <c r="V18" s="3"/>
      <c r="W18" s="3"/>
      <c r="X18" s="3"/>
      <c r="Y18" s="3"/>
      <c r="Z18" s="3"/>
      <c r="AA18" s="3"/>
      <c r="AB18" s="3"/>
      <c r="AC18" s="3"/>
      <c r="AD18" s="3"/>
      <c r="AE18" s="3"/>
      <c r="AF18" s="3"/>
      <c r="AG18" s="7"/>
      <c r="AH18" s="7"/>
      <c r="AI18" s="7"/>
      <c r="AJ18" s="7"/>
      <c r="AK18" s="7"/>
      <c r="AL18" s="7"/>
      <c r="AM18" s="7"/>
      <c r="AN18" s="809"/>
      <c r="AO18" s="809"/>
      <c r="AP18" s="809"/>
      <c r="AQ18" s="809"/>
      <c r="AR18" s="809"/>
      <c r="AS18" s="809"/>
      <c r="AT18" s="809"/>
      <c r="AU18" s="809"/>
      <c r="AV18" s="809"/>
      <c r="AW18" s="809"/>
      <c r="AX18" s="809"/>
      <c r="AY18" s="809"/>
      <c r="AZ18" s="809"/>
      <c r="BA18" s="809"/>
      <c r="BB18" s="809"/>
      <c r="BC18" s="809"/>
      <c r="BD18" s="809"/>
      <c r="BE18" s="809"/>
      <c r="BF18" s="809"/>
      <c r="BG18" s="809"/>
      <c r="BH18" s="809"/>
      <c r="BI18" s="809"/>
      <c r="BJ18" s="809"/>
      <c r="BK18" s="809"/>
      <c r="BL18" s="809"/>
      <c r="BM18" s="809"/>
      <c r="BN18" s="809"/>
      <c r="BO18" s="809"/>
      <c r="BP18" s="809"/>
      <c r="BQ18" s="809"/>
      <c r="BR18" s="809"/>
      <c r="BS18" s="809"/>
      <c r="BT18" s="809"/>
      <c r="BU18" s="809"/>
      <c r="BV18" s="809"/>
      <c r="BW18" s="809"/>
      <c r="BX18" s="809"/>
      <c r="BY18" s="809"/>
      <c r="BZ18" s="809"/>
      <c r="CA18" s="809"/>
      <c r="CB18" s="809"/>
      <c r="CC18" s="809"/>
      <c r="CD18" s="809"/>
      <c r="CE18" s="809"/>
      <c r="CF18" s="809"/>
      <c r="CG18" s="809"/>
    </row>
    <row r="19" spans="1:86" ht="18.75">
      <c r="A19" s="612" t="s">
        <v>24</v>
      </c>
      <c r="U19" s="17"/>
      <c r="V19" s="3"/>
      <c r="W19" s="3"/>
      <c r="X19" s="3"/>
      <c r="Y19" s="3"/>
      <c r="Z19" s="3"/>
      <c r="AA19" s="3"/>
      <c r="AB19" s="3"/>
      <c r="AC19" s="3"/>
      <c r="AD19" s="3"/>
      <c r="AE19" s="3"/>
      <c r="AF19" s="3"/>
      <c r="AG19" s="7"/>
      <c r="AH19" s="7"/>
      <c r="AI19" s="7"/>
      <c r="AJ19" s="7"/>
      <c r="AK19" s="7"/>
      <c r="AL19" s="7"/>
      <c r="AM19" s="7"/>
      <c r="AN19" s="809"/>
      <c r="AO19" s="809"/>
      <c r="AP19" s="809"/>
      <c r="AQ19" s="809"/>
      <c r="AR19" s="809"/>
      <c r="AS19" s="809"/>
      <c r="AT19" s="809"/>
      <c r="AU19" s="809"/>
      <c r="AV19" s="809"/>
      <c r="AW19" s="809"/>
      <c r="AX19" s="809"/>
      <c r="AY19" s="809"/>
      <c r="AZ19" s="809"/>
      <c r="BA19" s="809"/>
      <c r="BB19" s="809"/>
      <c r="BC19" s="809"/>
      <c r="BD19" s="809"/>
      <c r="BE19" s="809"/>
      <c r="BF19" s="809"/>
      <c r="BG19" s="809"/>
      <c r="BH19" s="809"/>
      <c r="BI19" s="809"/>
      <c r="BJ19" s="809"/>
      <c r="BK19" s="809"/>
      <c r="BL19" s="809"/>
      <c r="BM19" s="809"/>
      <c r="BN19" s="809"/>
      <c r="BO19" s="809"/>
      <c r="BP19" s="809"/>
      <c r="BQ19" s="809"/>
      <c r="BR19" s="809"/>
      <c r="BS19" s="809"/>
      <c r="BT19" s="809"/>
      <c r="BU19" s="809"/>
      <c r="BV19" s="809"/>
      <c r="BW19" s="809"/>
      <c r="BX19" s="809"/>
      <c r="BY19" s="809"/>
      <c r="BZ19" s="809"/>
      <c r="CA19" s="809"/>
      <c r="CB19" s="809"/>
      <c r="CC19" s="809"/>
      <c r="CD19" s="809"/>
      <c r="CE19" s="809"/>
      <c r="CF19" s="809"/>
      <c r="CG19" s="809"/>
    </row>
    <row r="20" spans="1:86" ht="18.75">
      <c r="A20" s="613" t="s">
        <v>25</v>
      </c>
      <c r="U20" s="17"/>
      <c r="V20" s="3"/>
      <c r="W20" s="3"/>
      <c r="X20" s="3"/>
      <c r="Y20" s="3"/>
      <c r="Z20" s="3"/>
      <c r="AA20" s="3"/>
      <c r="AB20" s="3"/>
      <c r="AC20" s="3"/>
      <c r="AD20" s="3"/>
      <c r="AE20" s="3"/>
      <c r="AF20" s="3"/>
      <c r="AG20" s="7"/>
      <c r="AH20" s="7"/>
      <c r="AI20" s="7"/>
      <c r="AJ20" s="7"/>
      <c r="AK20" s="7"/>
      <c r="AL20" s="7"/>
      <c r="AM20" s="7"/>
      <c r="AN20" s="809"/>
      <c r="AO20" s="809"/>
      <c r="AP20" s="809"/>
      <c r="AQ20" s="809"/>
      <c r="AR20" s="809"/>
      <c r="AS20" s="809"/>
      <c r="AT20" s="809"/>
      <c r="AU20" s="809"/>
      <c r="AV20" s="809"/>
      <c r="AW20" s="809"/>
      <c r="AX20" s="809"/>
      <c r="AY20" s="809"/>
      <c r="AZ20" s="809"/>
      <c r="BA20" s="809"/>
      <c r="BB20" s="809"/>
      <c r="BC20" s="809"/>
      <c r="BD20" s="809"/>
      <c r="BE20" s="809"/>
      <c r="BF20" s="809"/>
      <c r="BG20" s="809"/>
      <c r="BH20" s="809"/>
      <c r="BI20" s="809"/>
      <c r="BJ20" s="809"/>
      <c r="BK20" s="809"/>
      <c r="BL20" s="809"/>
      <c r="BM20" s="809"/>
      <c r="BN20" s="809"/>
      <c r="BO20" s="809"/>
      <c r="BP20" s="809"/>
      <c r="BQ20" s="809"/>
      <c r="BR20" s="809"/>
      <c r="BS20" s="809"/>
      <c r="BT20" s="809"/>
      <c r="BU20" s="809"/>
      <c r="BV20" s="809"/>
      <c r="BW20" s="809"/>
      <c r="BX20" s="809"/>
      <c r="BY20" s="809"/>
      <c r="BZ20" s="809"/>
      <c r="CA20" s="809"/>
      <c r="CB20" s="809"/>
      <c r="CC20" s="809"/>
      <c r="CD20" s="809"/>
      <c r="CE20" s="809"/>
      <c r="CF20" s="809"/>
      <c r="CG20" s="809"/>
    </row>
    <row r="21" spans="1:86">
      <c r="U21" s="17"/>
      <c r="V21" s="3"/>
      <c r="W21" s="3"/>
      <c r="X21" s="3"/>
      <c r="Y21" s="3"/>
      <c r="Z21" s="3"/>
      <c r="AA21" s="3"/>
      <c r="AB21" s="3"/>
      <c r="AC21" s="3"/>
      <c r="AD21" s="3"/>
      <c r="AE21" s="3"/>
      <c r="AF21" s="3"/>
      <c r="AG21" s="7"/>
      <c r="AH21" s="7"/>
      <c r="AI21" s="7"/>
      <c r="AJ21" s="7"/>
      <c r="AK21" s="7"/>
      <c r="AL21" s="7"/>
      <c r="AM21" s="7"/>
      <c r="AN21" s="809"/>
      <c r="AO21" s="809"/>
      <c r="AP21" s="809"/>
      <c r="AQ21" s="809"/>
      <c r="AR21" s="809"/>
      <c r="AS21" s="809"/>
      <c r="AT21" s="809"/>
      <c r="AU21" s="809"/>
      <c r="AV21" s="809"/>
      <c r="AW21" s="809"/>
      <c r="AX21" s="809"/>
      <c r="AY21" s="809"/>
      <c r="AZ21" s="809"/>
      <c r="BA21" s="809"/>
      <c r="BB21" s="809"/>
      <c r="BC21" s="809"/>
      <c r="BD21" s="809"/>
      <c r="BE21" s="809"/>
      <c r="BF21" s="809"/>
      <c r="BG21" s="809"/>
      <c r="BH21" s="809"/>
      <c r="BI21" s="809"/>
      <c r="BJ21" s="809"/>
      <c r="BK21" s="809"/>
      <c r="BL21" s="809"/>
      <c r="BM21" s="809"/>
      <c r="BN21" s="809"/>
      <c r="BO21" s="809"/>
      <c r="BP21" s="809"/>
      <c r="BQ21" s="809"/>
      <c r="BR21" s="809"/>
      <c r="BS21" s="809"/>
      <c r="BT21" s="809"/>
      <c r="BU21" s="809"/>
      <c r="BV21" s="809"/>
      <c r="BW21" s="809"/>
      <c r="BX21" s="809"/>
      <c r="BY21" s="809"/>
      <c r="BZ21" s="809"/>
      <c r="CA21" s="809"/>
      <c r="CB21" s="809"/>
      <c r="CC21" s="809"/>
      <c r="CD21" s="809"/>
      <c r="CE21" s="809"/>
      <c r="CF21" s="809"/>
      <c r="CG21" s="809"/>
    </row>
    <row r="22" spans="1:86" s="29" customFormat="1" ht="44.25" customHeight="1">
      <c r="A22" s="463" t="s">
        <v>26</v>
      </c>
      <c r="B22" s="464"/>
      <c r="C22" s="465"/>
      <c r="D22" s="465"/>
      <c r="E22" s="465"/>
      <c r="F22" s="464" t="s">
        <v>2</v>
      </c>
      <c r="G22" s="464" t="s">
        <v>2</v>
      </c>
      <c r="H22" s="464"/>
      <c r="I22" s="464" t="s">
        <v>2</v>
      </c>
      <c r="J22" s="464"/>
      <c r="K22" s="464" t="s">
        <v>2</v>
      </c>
      <c r="L22" s="464" t="s">
        <v>2</v>
      </c>
      <c r="M22" s="464"/>
      <c r="N22" s="464" t="s">
        <v>2</v>
      </c>
      <c r="O22" s="464"/>
      <c r="P22" s="464" t="s">
        <v>2</v>
      </c>
      <c r="Q22" s="464"/>
      <c r="R22" s="464" t="s">
        <v>2</v>
      </c>
      <c r="S22" s="464"/>
      <c r="T22" s="464" t="s">
        <v>2</v>
      </c>
      <c r="U22" s="464" t="s">
        <v>2</v>
      </c>
      <c r="V22" s="464"/>
      <c r="W22" s="464" t="s">
        <v>2</v>
      </c>
      <c r="X22" s="464"/>
      <c r="Y22" s="464" t="s">
        <v>2</v>
      </c>
      <c r="Z22" s="464" t="s">
        <v>2</v>
      </c>
      <c r="AA22" s="464"/>
      <c r="AB22" s="464" t="s">
        <v>2</v>
      </c>
      <c r="AC22" s="464"/>
      <c r="AD22" s="464" t="s">
        <v>2</v>
      </c>
      <c r="AE22" s="464" t="s">
        <v>2</v>
      </c>
      <c r="AF22" s="464"/>
      <c r="AG22" s="464" t="s">
        <v>2</v>
      </c>
      <c r="AH22" s="464"/>
      <c r="AI22" s="464" t="s">
        <v>2</v>
      </c>
      <c r="AJ22" s="464" t="s">
        <v>2</v>
      </c>
      <c r="AK22" s="464"/>
      <c r="AL22" s="464" t="s">
        <v>2</v>
      </c>
      <c r="AM22" s="464"/>
      <c r="AN22" s="464"/>
      <c r="AO22" s="464"/>
      <c r="AP22" s="464"/>
      <c r="AQ22" s="464"/>
      <c r="AR22" s="464"/>
      <c r="AS22" s="464"/>
      <c r="AT22" s="464"/>
      <c r="AU22" s="464"/>
      <c r="AV22" s="464"/>
      <c r="AW22" s="464"/>
      <c r="AX22" s="464"/>
      <c r="AY22" s="464"/>
      <c r="AZ22" s="464"/>
      <c r="BA22" s="464"/>
      <c r="BB22" s="464"/>
      <c r="BC22" s="464"/>
      <c r="BD22" s="464"/>
      <c r="BE22" s="464"/>
      <c r="BF22" s="464"/>
      <c r="BG22" s="464"/>
      <c r="BH22" s="464"/>
      <c r="BI22" s="464"/>
      <c r="BJ22" s="464"/>
      <c r="BK22" s="464"/>
      <c r="BL22" s="464"/>
      <c r="BM22" s="464"/>
      <c r="BN22" s="464"/>
      <c r="BO22" s="464"/>
      <c r="BP22" s="464"/>
      <c r="BQ22" s="464"/>
      <c r="BR22" s="464"/>
      <c r="BS22" s="464"/>
      <c r="BT22" s="464"/>
      <c r="BU22" s="464"/>
      <c r="BV22" s="464"/>
      <c r="BW22" s="464"/>
      <c r="BX22" s="464" t="s">
        <v>27</v>
      </c>
      <c r="BY22" s="464"/>
      <c r="BZ22" s="464"/>
      <c r="CA22" s="464"/>
      <c r="CB22" s="464"/>
      <c r="CC22" s="464"/>
      <c r="CD22" s="464"/>
      <c r="CE22" s="464"/>
      <c r="CF22" s="464"/>
      <c r="CG22" s="466"/>
    </row>
    <row r="23" spans="1:86" s="29" customFormat="1" ht="21" customHeight="1">
      <c r="A23" s="454" t="s">
        <v>28</v>
      </c>
      <c r="B23" s="455"/>
      <c r="C23" s="456"/>
      <c r="D23" s="456"/>
      <c r="E23" s="456"/>
      <c r="F23" s="457"/>
      <c r="G23" s="457"/>
      <c r="H23" s="458"/>
      <c r="I23" s="458"/>
      <c r="J23" s="458" t="s">
        <v>29</v>
      </c>
      <c r="K23" s="458"/>
      <c r="L23" s="458"/>
      <c r="M23" s="458"/>
      <c r="N23" s="459"/>
      <c r="O23" s="460"/>
      <c r="P23" s="460"/>
      <c r="Q23" s="460"/>
      <c r="R23" s="460"/>
      <c r="S23" s="460"/>
      <c r="T23" s="460"/>
      <c r="U23" s="460"/>
      <c r="V23" s="460"/>
      <c r="W23" s="460"/>
      <c r="X23" s="460"/>
      <c r="Y23" s="460"/>
      <c r="Z23" s="460"/>
      <c r="AA23" s="460"/>
      <c r="AB23" s="460"/>
      <c r="AC23" s="460"/>
      <c r="AD23" s="460"/>
      <c r="AE23" s="460"/>
      <c r="AF23" s="460"/>
      <c r="AG23" s="460"/>
      <c r="AH23" s="460"/>
      <c r="AI23" s="460"/>
      <c r="AJ23" s="461"/>
      <c r="AK23" s="462"/>
      <c r="AL23" s="462"/>
      <c r="AM23" s="462"/>
      <c r="AN23" s="462"/>
      <c r="AO23" s="462"/>
      <c r="AP23" s="462"/>
      <c r="AQ23" s="462"/>
      <c r="AR23" s="462"/>
      <c r="AS23" s="462" t="s">
        <v>30</v>
      </c>
      <c r="AT23" s="462"/>
      <c r="AU23" s="462"/>
      <c r="AV23" s="462"/>
      <c r="AW23" s="462"/>
      <c r="AX23" s="462"/>
      <c r="AY23" s="462"/>
      <c r="AZ23" s="462"/>
      <c r="BA23" s="462"/>
      <c r="BB23" s="462"/>
      <c r="BC23" s="462"/>
      <c r="BD23" s="462"/>
      <c r="BE23" s="283"/>
      <c r="BF23" s="101"/>
      <c r="BG23" s="101"/>
      <c r="BH23" s="101"/>
      <c r="BI23" s="101"/>
      <c r="BJ23" s="101"/>
      <c r="BK23" s="101"/>
      <c r="BL23" s="101"/>
      <c r="BM23" s="101"/>
      <c r="BN23" s="101"/>
      <c r="BO23" s="101"/>
      <c r="BP23" s="101"/>
      <c r="BQ23" s="101"/>
      <c r="BR23" s="101" t="s">
        <v>31</v>
      </c>
      <c r="BS23" s="101"/>
      <c r="BT23" s="101"/>
      <c r="BU23" s="101"/>
      <c r="BV23" s="101"/>
      <c r="BW23" s="101"/>
      <c r="BX23" s="101"/>
      <c r="BY23" s="101"/>
      <c r="BZ23" s="101"/>
      <c r="CA23" s="102"/>
      <c r="CB23" s="132"/>
      <c r="CC23" s="132"/>
      <c r="CD23" s="132" t="s">
        <v>32</v>
      </c>
      <c r="CE23" s="132"/>
      <c r="CF23" s="132"/>
      <c r="CG23" s="132"/>
    </row>
    <row r="24" spans="1:86">
      <c r="A24" s="79" t="s">
        <v>33</v>
      </c>
      <c r="B24" s="80"/>
      <c r="C24" s="107"/>
      <c r="D24" s="107"/>
      <c r="E24" s="107"/>
      <c r="F24" s="95"/>
      <c r="G24" s="82"/>
      <c r="H24" s="83">
        <v>34</v>
      </c>
      <c r="I24" s="14"/>
      <c r="J24" s="14"/>
      <c r="K24" s="84"/>
      <c r="L24" s="85"/>
      <c r="M24" s="86">
        <v>35</v>
      </c>
      <c r="N24" s="87"/>
      <c r="O24" s="87"/>
      <c r="P24" s="81"/>
      <c r="Q24" s="95"/>
      <c r="R24" s="82">
        <v>36</v>
      </c>
      <c r="S24" s="82"/>
      <c r="T24" s="95"/>
      <c r="U24" s="84"/>
      <c r="V24" s="92"/>
      <c r="W24" s="93">
        <v>37</v>
      </c>
      <c r="X24" s="93"/>
      <c r="Y24" s="96"/>
      <c r="Z24" s="97"/>
      <c r="AA24" s="90"/>
      <c r="AB24" s="90">
        <v>38</v>
      </c>
      <c r="AC24" s="90"/>
      <c r="AD24" s="90"/>
      <c r="AE24" s="91"/>
      <c r="AF24" s="92"/>
      <c r="AG24" s="93">
        <v>39</v>
      </c>
      <c r="AH24" s="93"/>
      <c r="AI24" s="92"/>
      <c r="AJ24" s="88"/>
      <c r="AK24" s="89"/>
      <c r="AL24" s="90">
        <v>40</v>
      </c>
      <c r="AM24" s="90"/>
      <c r="AN24" s="89"/>
      <c r="AO24" s="91"/>
      <c r="AP24" s="92"/>
      <c r="AQ24" s="93">
        <v>41</v>
      </c>
      <c r="AR24" s="93"/>
      <c r="AS24" s="92"/>
      <c r="AT24" s="88"/>
      <c r="AU24" s="89"/>
      <c r="AV24" s="90">
        <v>42</v>
      </c>
      <c r="AW24" s="90"/>
      <c r="AX24" s="94"/>
      <c r="AY24" s="92"/>
      <c r="AZ24" s="92"/>
      <c r="BA24" s="93">
        <v>43</v>
      </c>
      <c r="BB24" s="93"/>
      <c r="BC24" s="92"/>
      <c r="BD24" s="98"/>
      <c r="BE24" s="89"/>
      <c r="BF24" s="90">
        <v>44</v>
      </c>
      <c r="BG24" s="90"/>
      <c r="BH24" s="94"/>
      <c r="BI24" s="92"/>
      <c r="BJ24" s="92"/>
      <c r="BK24" s="93">
        <v>45</v>
      </c>
      <c r="BL24" s="93"/>
      <c r="BM24" s="96"/>
      <c r="BN24" s="89"/>
      <c r="BO24" s="89"/>
      <c r="BP24" s="90">
        <v>46</v>
      </c>
      <c r="BQ24" s="90"/>
      <c r="BR24" s="94"/>
      <c r="BS24" s="37"/>
      <c r="BT24" s="37"/>
      <c r="BU24" s="38">
        <v>47</v>
      </c>
      <c r="BV24" s="38"/>
      <c r="BW24" s="37"/>
      <c r="BX24" s="88"/>
      <c r="BY24" s="89"/>
      <c r="BZ24" s="90">
        <v>48</v>
      </c>
      <c r="CA24" s="90"/>
      <c r="CB24" s="42"/>
      <c r="CC24" s="39"/>
      <c r="CD24" s="39"/>
      <c r="CE24" s="40">
        <v>49</v>
      </c>
      <c r="CF24" s="40"/>
      <c r="CG24" s="41"/>
    </row>
    <row r="25" spans="1:86">
      <c r="A25" s="79" t="s">
        <v>34</v>
      </c>
      <c r="B25" s="80"/>
      <c r="C25" s="107"/>
      <c r="D25" s="107"/>
      <c r="E25" s="107"/>
      <c r="F25" s="63">
        <v>45159</v>
      </c>
      <c r="G25" s="63">
        <v>45160</v>
      </c>
      <c r="H25" s="63">
        <v>45161</v>
      </c>
      <c r="I25" s="63">
        <v>45162</v>
      </c>
      <c r="J25" s="63">
        <v>45163</v>
      </c>
      <c r="K25" s="73" t="s">
        <v>35</v>
      </c>
      <c r="L25" s="64">
        <v>45167</v>
      </c>
      <c r="M25" s="64">
        <v>45168</v>
      </c>
      <c r="N25" s="64">
        <v>45169</v>
      </c>
      <c r="O25" s="64">
        <v>45170</v>
      </c>
      <c r="P25" s="63">
        <v>45173</v>
      </c>
      <c r="Q25" s="63">
        <v>45174</v>
      </c>
      <c r="R25" s="63">
        <v>45175</v>
      </c>
      <c r="S25" s="63">
        <v>45176</v>
      </c>
      <c r="T25" s="63">
        <v>45177</v>
      </c>
      <c r="U25" s="75">
        <v>45180</v>
      </c>
      <c r="V25" s="75">
        <v>45181</v>
      </c>
      <c r="W25" s="75">
        <v>45182</v>
      </c>
      <c r="X25" s="75">
        <v>45183</v>
      </c>
      <c r="Y25" s="75">
        <v>45184</v>
      </c>
      <c r="Z25" s="63">
        <v>45187</v>
      </c>
      <c r="AA25" s="63">
        <v>45188</v>
      </c>
      <c r="AB25" s="63">
        <v>45189</v>
      </c>
      <c r="AC25" s="63">
        <v>45190</v>
      </c>
      <c r="AD25" s="63">
        <v>45191</v>
      </c>
      <c r="AE25" s="75">
        <v>45194</v>
      </c>
      <c r="AF25" s="75">
        <v>45195</v>
      </c>
      <c r="AG25" s="75">
        <v>45196</v>
      </c>
      <c r="AH25" s="75">
        <v>45197</v>
      </c>
      <c r="AI25" s="75">
        <v>45198</v>
      </c>
      <c r="AJ25" s="77">
        <v>44967</v>
      </c>
      <c r="AK25" s="77">
        <v>44995</v>
      </c>
      <c r="AL25" s="77">
        <v>45026</v>
      </c>
      <c r="AM25" s="77">
        <v>45056</v>
      </c>
      <c r="AN25" s="77">
        <v>45087</v>
      </c>
      <c r="AO25" s="74">
        <v>45208</v>
      </c>
      <c r="AP25" s="74">
        <v>45209</v>
      </c>
      <c r="AQ25" s="74">
        <v>45210</v>
      </c>
      <c r="AR25" s="74">
        <v>45211</v>
      </c>
      <c r="AS25" s="74">
        <v>45212</v>
      </c>
      <c r="AT25" s="76" t="s">
        <v>36</v>
      </c>
      <c r="AU25" s="76" t="s">
        <v>37</v>
      </c>
      <c r="AV25" s="76" t="s">
        <v>38</v>
      </c>
      <c r="AW25" s="76" t="s">
        <v>39</v>
      </c>
      <c r="AX25" s="76" t="s">
        <v>40</v>
      </c>
      <c r="AY25" s="74" t="s">
        <v>41</v>
      </c>
      <c r="AZ25" s="74" t="s">
        <v>42</v>
      </c>
      <c r="BA25" s="74" t="s">
        <v>43</v>
      </c>
      <c r="BB25" s="74" t="s">
        <v>44</v>
      </c>
      <c r="BC25" s="74" t="s">
        <v>45</v>
      </c>
      <c r="BD25" s="76" t="s">
        <v>46</v>
      </c>
      <c r="BE25" s="76" t="s">
        <v>47</v>
      </c>
      <c r="BF25" s="63">
        <v>45231</v>
      </c>
      <c r="BG25" s="63">
        <v>45232</v>
      </c>
      <c r="BH25" s="63">
        <v>45233</v>
      </c>
      <c r="BI25" s="64">
        <v>45236</v>
      </c>
      <c r="BJ25" s="64">
        <v>45237</v>
      </c>
      <c r="BK25" s="64">
        <v>45238</v>
      </c>
      <c r="BL25" s="64">
        <v>45239</v>
      </c>
      <c r="BM25" s="64">
        <v>45240</v>
      </c>
      <c r="BN25" s="64">
        <v>45243</v>
      </c>
      <c r="BO25" s="64">
        <v>45244</v>
      </c>
      <c r="BP25" s="64">
        <v>45245</v>
      </c>
      <c r="BQ25" s="64">
        <v>45246</v>
      </c>
      <c r="BR25" s="64">
        <v>45247</v>
      </c>
      <c r="BS25" s="64">
        <v>45250</v>
      </c>
      <c r="BT25" s="64">
        <v>45251</v>
      </c>
      <c r="BU25" s="64">
        <v>45252</v>
      </c>
      <c r="BV25" s="64">
        <v>45253</v>
      </c>
      <c r="BW25" s="64">
        <v>45254</v>
      </c>
      <c r="BX25" s="63">
        <v>45257</v>
      </c>
      <c r="BY25" s="63">
        <v>45258</v>
      </c>
      <c r="BZ25" s="63">
        <v>45259</v>
      </c>
      <c r="CA25" s="63">
        <v>45260</v>
      </c>
      <c r="CB25" s="63">
        <v>45261</v>
      </c>
      <c r="CC25" s="64">
        <v>45264</v>
      </c>
      <c r="CD25" s="64">
        <v>45265</v>
      </c>
      <c r="CE25" s="64">
        <v>45266</v>
      </c>
      <c r="CF25" s="64">
        <v>45267</v>
      </c>
      <c r="CG25" s="64">
        <v>45268</v>
      </c>
      <c r="CH25" s="14"/>
    </row>
    <row r="26" spans="1:86" s="104" customFormat="1">
      <c r="A26" s="99" t="s">
        <v>48</v>
      </c>
      <c r="B26" s="483" t="s">
        <v>49</v>
      </c>
      <c r="C26" s="484" t="s">
        <v>50</v>
      </c>
      <c r="D26" s="112" t="s">
        <v>51</v>
      </c>
      <c r="E26" s="112" t="s">
        <v>52</v>
      </c>
      <c r="F26" s="118" t="s">
        <v>2</v>
      </c>
      <c r="G26" s="119"/>
      <c r="H26" s="119"/>
      <c r="K26" s="120" t="s">
        <v>2</v>
      </c>
      <c r="L26" s="121"/>
      <c r="M26" s="121"/>
      <c r="N26" s="121"/>
      <c r="O26" s="121"/>
      <c r="P26" s="118" t="s">
        <v>2</v>
      </c>
      <c r="Q26" s="122"/>
      <c r="R26" s="119"/>
      <c r="S26" s="119"/>
      <c r="T26" s="119"/>
      <c r="U26" s="123"/>
      <c r="V26" s="812"/>
      <c r="W26" s="124" t="s">
        <v>2</v>
      </c>
      <c r="X26" s="124"/>
      <c r="Y26" s="34"/>
      <c r="Z26" s="126"/>
      <c r="AA26" s="127"/>
      <c r="AB26" s="127" t="s">
        <v>2</v>
      </c>
      <c r="AC26" s="127"/>
      <c r="AD26" s="127"/>
      <c r="AE26" s="813"/>
      <c r="AF26" s="812"/>
      <c r="AG26" s="124" t="s">
        <v>2</v>
      </c>
      <c r="AH26" s="124"/>
      <c r="AI26" s="125" t="s">
        <v>53</v>
      </c>
      <c r="AJ26" s="814"/>
      <c r="AK26" s="815"/>
      <c r="AL26" s="127" t="s">
        <v>2</v>
      </c>
      <c r="AM26" s="127"/>
      <c r="AN26" s="815"/>
      <c r="AO26" s="813"/>
      <c r="AP26" s="812"/>
      <c r="AQ26" s="124" t="s">
        <v>2</v>
      </c>
      <c r="AR26" s="124"/>
      <c r="AS26" s="816"/>
      <c r="AT26" s="119"/>
      <c r="AU26" s="119"/>
      <c r="AV26" s="122" t="s">
        <v>2</v>
      </c>
      <c r="AW26" s="122"/>
      <c r="AX26" s="119"/>
      <c r="AY26" s="123"/>
      <c r="AZ26" s="121"/>
      <c r="BA26" s="128" t="s">
        <v>2</v>
      </c>
      <c r="BB26" s="128"/>
      <c r="BC26" s="129"/>
      <c r="BD26" s="119"/>
      <c r="BE26" s="815"/>
      <c r="BF26" s="127" t="s">
        <v>2</v>
      </c>
      <c r="BG26" s="127"/>
      <c r="BH26" s="817"/>
      <c r="BI26" s="812"/>
      <c r="BJ26" s="812"/>
      <c r="BK26" s="124" t="s">
        <v>2</v>
      </c>
      <c r="BL26" s="124"/>
      <c r="BM26" s="816"/>
      <c r="BN26" s="815"/>
      <c r="BO26" s="815"/>
      <c r="BP26" s="127" t="s">
        <v>2</v>
      </c>
      <c r="BQ26" s="127"/>
      <c r="BR26" s="817"/>
      <c r="BS26" s="812"/>
      <c r="BT26" s="812"/>
      <c r="BU26" s="130" t="s">
        <v>54</v>
      </c>
      <c r="BV26" s="124"/>
      <c r="BW26" s="816"/>
      <c r="BX26" s="814"/>
      <c r="BY26" s="815"/>
      <c r="BZ26" s="127" t="s">
        <v>2</v>
      </c>
      <c r="CA26" s="127"/>
      <c r="CB26" s="131" t="s">
        <v>2</v>
      </c>
      <c r="CC26" s="812"/>
      <c r="CD26" s="812"/>
      <c r="CE26" s="812"/>
      <c r="CF26" s="812"/>
      <c r="CG26" s="816"/>
    </row>
    <row r="27" spans="1:86" s="104" customFormat="1" ht="30.75">
      <c r="A27" s="510" t="s">
        <v>55</v>
      </c>
      <c r="B27" s="519" t="s">
        <v>56</v>
      </c>
      <c r="C27" s="518" t="s">
        <v>5</v>
      </c>
      <c r="D27" s="482" t="s">
        <v>57</v>
      </c>
      <c r="E27" s="197" t="s">
        <v>58</v>
      </c>
      <c r="F27" s="189"/>
      <c r="K27" s="190"/>
      <c r="L27" s="191"/>
      <c r="M27" s="191"/>
      <c r="N27" s="191"/>
      <c r="O27" s="191"/>
      <c r="P27" s="189"/>
      <c r="Q27" s="48"/>
      <c r="U27" s="192"/>
      <c r="V27" s="818"/>
      <c r="W27" s="193"/>
      <c r="X27" s="193"/>
      <c r="Y27" s="34"/>
      <c r="Z27" s="194"/>
      <c r="AA27" s="47"/>
      <c r="AB27" s="47"/>
      <c r="AC27" s="47"/>
      <c r="AD27" s="47"/>
      <c r="AE27" s="819"/>
      <c r="AF27" s="818"/>
      <c r="AG27" s="193"/>
      <c r="AH27" s="193"/>
      <c r="AI27" s="125"/>
      <c r="AJ27" s="820"/>
      <c r="AK27" s="821"/>
      <c r="AL27" s="47"/>
      <c r="AM27" s="47"/>
      <c r="AN27" s="821"/>
      <c r="AO27" s="819"/>
      <c r="AP27" s="818"/>
      <c r="AQ27" s="193"/>
      <c r="AR27" s="193"/>
      <c r="AS27" s="822"/>
      <c r="AV27" s="48"/>
      <c r="AW27" s="48"/>
      <c r="AY27" s="192"/>
      <c r="AZ27" s="191"/>
      <c r="BA27" s="190"/>
      <c r="BB27" s="190"/>
      <c r="BC27" s="195"/>
      <c r="BE27" s="821"/>
      <c r="BF27" s="47"/>
      <c r="BG27" s="47"/>
      <c r="BH27" s="823"/>
      <c r="BI27" s="818"/>
      <c r="BJ27" s="818"/>
      <c r="BK27" s="193"/>
      <c r="BL27" s="193"/>
      <c r="BM27" s="822"/>
      <c r="BN27" s="821"/>
      <c r="BO27" s="821"/>
      <c r="BP27" s="47"/>
      <c r="BQ27" s="47"/>
      <c r="BR27" s="823"/>
      <c r="BS27" s="818"/>
      <c r="BT27" s="818"/>
      <c r="BU27" s="130"/>
      <c r="BV27" s="193"/>
      <c r="BW27" s="822"/>
      <c r="BX27" s="820"/>
      <c r="BY27" s="821"/>
      <c r="BZ27" s="47"/>
      <c r="CA27" s="47"/>
      <c r="CB27" s="196"/>
      <c r="CC27" s="818"/>
      <c r="CD27" s="818"/>
      <c r="CE27" s="818"/>
      <c r="CF27" s="818"/>
      <c r="CG27" s="822"/>
    </row>
    <row r="28" spans="1:86" ht="15.75">
      <c r="A28" s="512" t="s">
        <v>59</v>
      </c>
      <c r="B28" s="824" t="s">
        <v>60</v>
      </c>
      <c r="C28" s="554" t="s">
        <v>5</v>
      </c>
      <c r="D28" s="825" t="s">
        <v>57</v>
      </c>
      <c r="E28" s="826" t="s">
        <v>58</v>
      </c>
      <c r="F28" s="66"/>
      <c r="G28" s="809"/>
      <c r="H28" s="809"/>
      <c r="I28" s="809"/>
      <c r="J28" s="809"/>
      <c r="K28" s="69"/>
      <c r="L28" s="827"/>
      <c r="M28" s="827"/>
      <c r="N28" s="827"/>
      <c r="O28" s="827"/>
      <c r="P28" s="66"/>
      <c r="Q28" s="7"/>
      <c r="R28" s="809"/>
      <c r="S28" s="809"/>
      <c r="T28" s="809"/>
      <c r="U28" s="828"/>
      <c r="V28" s="827"/>
      <c r="W28" s="34"/>
      <c r="X28" s="34"/>
      <c r="Y28" s="34"/>
      <c r="Z28" s="66"/>
      <c r="AA28" s="7"/>
      <c r="AB28" s="7"/>
      <c r="AC28" s="7"/>
      <c r="AD28" s="7"/>
      <c r="AE28" s="828"/>
      <c r="AF28" s="827"/>
      <c r="AG28" s="34"/>
      <c r="AH28" s="34"/>
      <c r="AI28" s="11"/>
      <c r="AJ28" s="829"/>
      <c r="AK28" s="809"/>
      <c r="AL28" s="7"/>
      <c r="AM28" s="7"/>
      <c r="AN28" s="809"/>
      <c r="AO28" s="828"/>
      <c r="AP28" s="827"/>
      <c r="AQ28" s="34"/>
      <c r="AR28" s="34"/>
      <c r="AS28" s="830"/>
      <c r="AU28" s="809"/>
      <c r="AV28" s="7"/>
      <c r="AW28" s="7"/>
      <c r="AY28" s="43"/>
      <c r="AZ28" s="827"/>
      <c r="BA28" s="34"/>
      <c r="BB28" s="34"/>
      <c r="BC28" s="44"/>
      <c r="BE28" s="809"/>
      <c r="BF28" s="7"/>
      <c r="BG28" s="7"/>
      <c r="BH28" s="831"/>
      <c r="BI28" s="827"/>
      <c r="BJ28" s="827"/>
      <c r="BK28" s="34"/>
      <c r="BL28" s="34"/>
      <c r="BM28" s="830"/>
      <c r="BN28" s="809"/>
      <c r="BO28" s="809"/>
      <c r="BP28" s="7"/>
      <c r="BQ28" s="7"/>
      <c r="BR28" s="831"/>
      <c r="BS28" s="827"/>
      <c r="BT28" s="827"/>
      <c r="BU28" s="52"/>
      <c r="BV28" s="34"/>
      <c r="BW28" s="830"/>
      <c r="BX28" s="829"/>
      <c r="BY28" s="809"/>
      <c r="BZ28" s="7"/>
      <c r="CA28" s="7"/>
      <c r="CB28" s="49"/>
      <c r="CC28" s="827"/>
      <c r="CD28" s="827"/>
      <c r="CE28" s="827"/>
      <c r="CF28" s="827"/>
      <c r="CG28" s="830"/>
    </row>
    <row r="29" spans="1:86" s="104" customFormat="1">
      <c r="A29" s="511" t="s">
        <v>7</v>
      </c>
      <c r="B29" s="508" t="s">
        <v>61</v>
      </c>
      <c r="C29" s="133" t="s">
        <v>62</v>
      </c>
      <c r="D29" s="551"/>
      <c r="E29" s="473" t="s">
        <v>63</v>
      </c>
      <c r="F29" s="48"/>
      <c r="K29" s="190"/>
      <c r="L29" s="191"/>
      <c r="M29" s="191"/>
      <c r="N29" s="191"/>
      <c r="O29" s="191"/>
      <c r="P29" s="189"/>
      <c r="Q29" s="48"/>
      <c r="U29" s="192"/>
      <c r="V29" s="818"/>
      <c r="W29" s="193"/>
      <c r="X29" s="193"/>
      <c r="Y29" s="34"/>
      <c r="Z29" s="194"/>
      <c r="AA29" s="47"/>
      <c r="AB29" s="47"/>
      <c r="AC29" s="47"/>
      <c r="AD29" s="47"/>
      <c r="AE29" s="819"/>
      <c r="AF29" s="818"/>
      <c r="AG29" s="193"/>
      <c r="AH29" s="193"/>
      <c r="AI29" s="125"/>
      <c r="AJ29" s="820"/>
      <c r="AK29" s="821"/>
      <c r="AL29" s="47"/>
      <c r="AM29" s="47"/>
      <c r="AN29" s="821"/>
      <c r="AO29" s="819"/>
      <c r="AP29" s="818"/>
      <c r="AQ29" s="193"/>
      <c r="AR29" s="193"/>
      <c r="AS29" s="822"/>
      <c r="AV29" s="48"/>
      <c r="AW29" s="48"/>
      <c r="AY29" s="192"/>
      <c r="AZ29" s="191"/>
      <c r="BA29" s="190"/>
      <c r="BB29" s="190"/>
      <c r="BC29" s="195"/>
      <c r="BE29" s="821"/>
      <c r="BF29" s="47"/>
      <c r="BG29" s="47"/>
      <c r="BH29" s="823"/>
      <c r="BI29" s="818"/>
      <c r="BJ29" s="818"/>
      <c r="BK29" s="193"/>
      <c r="BL29" s="193"/>
      <c r="BM29" s="822"/>
      <c r="BN29" s="821"/>
      <c r="BO29" s="821"/>
      <c r="BP29" s="47"/>
      <c r="BQ29" s="47"/>
      <c r="BR29" s="823"/>
      <c r="BS29" s="818"/>
      <c r="BT29" s="818"/>
      <c r="BU29" s="130"/>
      <c r="BV29" s="193"/>
      <c r="BW29" s="822"/>
      <c r="BX29" s="820"/>
      <c r="BY29" s="821"/>
      <c r="BZ29" s="47"/>
      <c r="CA29" s="47"/>
      <c r="CB29" s="196"/>
      <c r="CC29" s="818"/>
      <c r="CD29" s="818"/>
      <c r="CE29" s="818"/>
      <c r="CF29" s="818"/>
      <c r="CG29" s="822"/>
    </row>
    <row r="30" spans="1:86" ht="15.75">
      <c r="A30" s="513" t="s">
        <v>64</v>
      </c>
      <c r="B30" s="549" t="s">
        <v>61</v>
      </c>
      <c r="C30" s="133" t="s">
        <v>65</v>
      </c>
      <c r="D30" s="552"/>
      <c r="E30" s="509" t="s">
        <v>66</v>
      </c>
      <c r="F30" s="65"/>
      <c r="K30" s="168" t="s">
        <v>67</v>
      </c>
      <c r="L30" s="15"/>
      <c r="M30" s="15"/>
      <c r="N30" s="15"/>
      <c r="O30" s="15"/>
      <c r="P30" s="65"/>
      <c r="Q30" s="16"/>
      <c r="U30" s="43"/>
      <c r="V30" s="827"/>
      <c r="W30" s="34"/>
      <c r="X30" s="34"/>
      <c r="Y30" s="34"/>
      <c r="Z30" s="66"/>
      <c r="AA30" s="7"/>
      <c r="AB30" s="7"/>
      <c r="AD30" s="7"/>
      <c r="AE30" s="828"/>
      <c r="AF30" s="827"/>
      <c r="AG30" s="34"/>
      <c r="AH30" s="34"/>
      <c r="AI30" s="11" t="s">
        <v>53</v>
      </c>
      <c r="AJ30" s="829"/>
      <c r="AK30" s="809"/>
      <c r="AL30" s="7"/>
      <c r="AM30" s="7"/>
      <c r="AN30" s="809"/>
      <c r="AO30" s="828"/>
      <c r="AP30" s="827"/>
      <c r="AQ30" s="34"/>
      <c r="AR30" s="34"/>
      <c r="AS30" s="830"/>
      <c r="AU30" s="809"/>
      <c r="AV30" s="7"/>
      <c r="AW30" s="7"/>
      <c r="AY30" s="43"/>
      <c r="AZ30" s="827"/>
      <c r="BA30" s="34"/>
      <c r="BB30" s="34"/>
      <c r="BC30" s="44"/>
      <c r="BE30" s="809"/>
      <c r="BF30" s="7"/>
      <c r="BG30" s="7"/>
      <c r="BH30" s="831"/>
      <c r="BI30" s="827"/>
      <c r="BJ30" s="827"/>
      <c r="BK30" s="34"/>
      <c r="BL30" s="34"/>
      <c r="BM30" s="830"/>
      <c r="BN30" s="809"/>
      <c r="BO30" s="809"/>
      <c r="BP30" s="54"/>
      <c r="BQ30" s="7"/>
      <c r="BR30" s="831"/>
      <c r="BS30" s="827"/>
      <c r="BT30" s="827"/>
      <c r="BU30" s="52" t="s">
        <v>54</v>
      </c>
      <c r="BV30" s="34"/>
      <c r="BW30" s="830"/>
      <c r="BX30" s="829"/>
      <c r="BY30" s="809"/>
      <c r="BZ30" s="7"/>
      <c r="CA30" s="7"/>
      <c r="CB30" s="49"/>
      <c r="CC30" s="827"/>
      <c r="CD30" s="827"/>
      <c r="CE30" s="827"/>
      <c r="CF30" s="827"/>
      <c r="CG30" s="830"/>
    </row>
    <row r="31" spans="1:86">
      <c r="A31" s="135" t="s">
        <v>68</v>
      </c>
      <c r="B31" s="550" t="s">
        <v>69</v>
      </c>
      <c r="C31" s="133" t="s">
        <v>70</v>
      </c>
      <c r="D31" s="553" t="s">
        <v>19</v>
      </c>
      <c r="E31" s="116" t="s">
        <v>71</v>
      </c>
      <c r="F31" s="65" t="s">
        <v>2</v>
      </c>
      <c r="K31" s="169" t="s">
        <v>67</v>
      </c>
      <c r="L31" s="15"/>
      <c r="M31" s="15"/>
      <c r="N31" s="15"/>
      <c r="O31" s="15"/>
      <c r="P31" s="65" t="s">
        <v>2</v>
      </c>
      <c r="Q31" s="16"/>
      <c r="U31" s="43"/>
      <c r="V31" s="827"/>
      <c r="W31" s="34" t="s">
        <v>2</v>
      </c>
      <c r="X31" s="34"/>
      <c r="Y31" s="34"/>
      <c r="Z31" s="66"/>
      <c r="AA31" s="7"/>
      <c r="AB31" s="7" t="s">
        <v>2</v>
      </c>
      <c r="AC31" s="7"/>
      <c r="AD31" s="7"/>
      <c r="AE31" s="828"/>
      <c r="AF31" s="827"/>
      <c r="AG31" s="34" t="s">
        <v>2</v>
      </c>
      <c r="AH31" s="34"/>
      <c r="AI31" s="11" t="s">
        <v>53</v>
      </c>
      <c r="AJ31" s="829"/>
      <c r="AK31" s="809"/>
      <c r="AL31" s="7" t="s">
        <v>2</v>
      </c>
      <c r="AM31" s="7"/>
      <c r="AN31" s="809"/>
      <c r="AO31" s="828"/>
      <c r="AP31" s="827"/>
      <c r="AQ31" s="34" t="s">
        <v>2</v>
      </c>
      <c r="AR31" s="34"/>
      <c r="AS31" s="830"/>
      <c r="AU31" s="809"/>
      <c r="AV31" s="7" t="s">
        <v>2</v>
      </c>
      <c r="AW31" s="7"/>
      <c r="AY31" s="43"/>
      <c r="AZ31" s="827"/>
      <c r="BA31" s="34" t="s">
        <v>2</v>
      </c>
      <c r="BB31" s="34"/>
      <c r="BC31" s="44"/>
      <c r="BE31" s="809"/>
      <c r="BF31" s="7" t="s">
        <v>2</v>
      </c>
      <c r="BG31" s="7"/>
      <c r="BH31" s="831"/>
      <c r="BI31" s="827"/>
      <c r="BJ31" s="827"/>
      <c r="BK31" s="34" t="s">
        <v>2</v>
      </c>
      <c r="BL31" s="34"/>
      <c r="BM31" s="830"/>
      <c r="BN31" s="809"/>
      <c r="BO31" s="809"/>
      <c r="BP31" s="7" t="s">
        <v>2</v>
      </c>
      <c r="BQ31" s="7"/>
      <c r="BR31" s="831"/>
      <c r="BS31" s="827"/>
      <c r="BT31" s="827"/>
      <c r="BU31" s="52" t="s">
        <v>54</v>
      </c>
      <c r="BV31" s="34"/>
      <c r="BW31" s="830"/>
      <c r="BX31" s="829"/>
      <c r="BY31" s="809"/>
      <c r="BZ31" s="7" t="s">
        <v>2</v>
      </c>
      <c r="CA31" s="7"/>
      <c r="CB31" s="49" t="s">
        <v>2</v>
      </c>
      <c r="CC31" s="827"/>
      <c r="CD31" s="827"/>
      <c r="CE31" s="827"/>
      <c r="CF31" s="827"/>
      <c r="CG31" s="830"/>
    </row>
    <row r="32" spans="1:86" ht="45.75">
      <c r="A32" s="470" t="s">
        <v>72</v>
      </c>
      <c r="B32" s="507" t="s">
        <v>73</v>
      </c>
      <c r="C32" s="555" t="s">
        <v>74</v>
      </c>
      <c r="D32" s="473" t="s">
        <v>19</v>
      </c>
      <c r="E32" s="472" t="s">
        <v>58</v>
      </c>
      <c r="F32" s="65" t="s">
        <v>2</v>
      </c>
      <c r="K32" s="68"/>
      <c r="L32" s="15"/>
      <c r="M32" s="15"/>
      <c r="N32" s="167" t="s">
        <v>67</v>
      </c>
      <c r="O32" s="166" t="s">
        <v>75</v>
      </c>
      <c r="P32" s="16"/>
      <c r="Q32" s="16"/>
      <c r="U32" s="43"/>
      <c r="V32" s="100" t="s">
        <v>76</v>
      </c>
      <c r="W32" s="34"/>
      <c r="X32" s="34"/>
      <c r="Y32" s="34"/>
      <c r="Z32" s="66"/>
      <c r="AA32" s="7"/>
      <c r="AB32" s="7"/>
      <c r="AC32" s="100" t="s">
        <v>75</v>
      </c>
      <c r="AD32" s="7"/>
      <c r="AE32" s="828"/>
      <c r="AF32" s="827"/>
      <c r="AG32" s="34"/>
      <c r="AH32" s="34"/>
      <c r="AI32" s="11" t="s">
        <v>53</v>
      </c>
      <c r="AJ32" s="829"/>
      <c r="AK32" s="809"/>
      <c r="AL32" s="100" t="s">
        <v>76</v>
      </c>
      <c r="AM32" s="7"/>
      <c r="AN32" s="809"/>
      <c r="AO32" s="828"/>
      <c r="AP32" s="827"/>
      <c r="AQ32" s="34"/>
      <c r="AR32" s="34"/>
      <c r="AS32" s="830"/>
      <c r="AU32" s="809"/>
      <c r="AV32" s="7"/>
      <c r="AW32" s="7"/>
      <c r="AY32" s="43"/>
      <c r="AZ32" s="100" t="s">
        <v>75</v>
      </c>
      <c r="BA32" s="34"/>
      <c r="BB32" s="34"/>
      <c r="BC32" s="44"/>
      <c r="BE32" s="809"/>
      <c r="BF32" s="7"/>
      <c r="BG32" s="7"/>
      <c r="BH32" s="831"/>
      <c r="BI32" s="827"/>
      <c r="BJ32" s="827"/>
      <c r="BK32" s="34"/>
      <c r="BL32" s="34"/>
      <c r="BM32" s="830"/>
      <c r="BN32" s="809"/>
      <c r="BO32" s="809"/>
      <c r="BP32" s="7"/>
      <c r="BQ32" s="7"/>
      <c r="BR32" s="831"/>
      <c r="BS32" s="827"/>
      <c r="BT32" s="827"/>
      <c r="BU32" s="52"/>
      <c r="BV32" s="34"/>
      <c r="BW32" s="830"/>
      <c r="BX32" s="829"/>
      <c r="BY32" s="809"/>
      <c r="BZ32" s="7"/>
      <c r="CA32" s="7"/>
      <c r="CB32" s="49"/>
      <c r="CC32" s="827"/>
      <c r="CD32" s="827"/>
      <c r="CE32" s="827"/>
      <c r="CF32" s="827"/>
      <c r="CG32" s="830"/>
    </row>
    <row r="33" spans="1:85" ht="30.75">
      <c r="A33" s="471" t="s">
        <v>77</v>
      </c>
      <c r="B33" s="505" t="s">
        <v>78</v>
      </c>
      <c r="C33" s="134" t="s">
        <v>79</v>
      </c>
      <c r="D33" s="474" t="s">
        <v>19</v>
      </c>
      <c r="E33" s="472" t="s">
        <v>80</v>
      </c>
      <c r="F33" s="117" t="s">
        <v>2</v>
      </c>
      <c r="K33" s="68" t="s">
        <v>2</v>
      </c>
      <c r="L33" s="15"/>
      <c r="M33" s="15"/>
      <c r="N33" s="167" t="s">
        <v>67</v>
      </c>
      <c r="O33" s="15"/>
      <c r="P33" s="65" t="s">
        <v>2</v>
      </c>
      <c r="Q33" s="16"/>
      <c r="R33" s="167" t="s">
        <v>67</v>
      </c>
      <c r="S33" s="167" t="s">
        <v>67</v>
      </c>
      <c r="U33" s="167" t="s">
        <v>81</v>
      </c>
      <c r="V33" s="827"/>
      <c r="W33" s="55" t="s">
        <v>2</v>
      </c>
      <c r="X33" s="55"/>
      <c r="Y33" s="34"/>
      <c r="Z33" s="66"/>
      <c r="AA33" s="7"/>
      <c r="AB33" s="7" t="s">
        <v>2</v>
      </c>
      <c r="AC33" s="7"/>
      <c r="AD33" s="7"/>
      <c r="AE33" s="828"/>
      <c r="AF33" s="827"/>
      <c r="AG33" s="55" t="s">
        <v>2</v>
      </c>
      <c r="AH33" s="55"/>
      <c r="AI33" s="11" t="s">
        <v>53</v>
      </c>
      <c r="AJ33" s="829"/>
      <c r="AK33" s="809"/>
      <c r="AL33" s="56" t="s">
        <v>2</v>
      </c>
      <c r="AM33" s="56"/>
      <c r="AN33" s="809"/>
      <c r="AO33" s="828"/>
      <c r="AP33" s="827"/>
      <c r="AQ33" s="34" t="s">
        <v>2</v>
      </c>
      <c r="AR33" s="34"/>
      <c r="AS33" s="830"/>
      <c r="AU33" s="809"/>
      <c r="AV33" s="7" t="s">
        <v>2</v>
      </c>
      <c r="AW33" s="7"/>
      <c r="AY33" s="43"/>
      <c r="AZ33" s="827"/>
      <c r="BA33" s="34" t="s">
        <v>2</v>
      </c>
      <c r="BB33" s="34"/>
      <c r="BC33" s="44"/>
      <c r="BE33" s="809"/>
      <c r="BF33" s="7" t="s">
        <v>2</v>
      </c>
      <c r="BG33" s="7"/>
      <c r="BH33" s="831"/>
      <c r="BI33" s="827"/>
      <c r="BJ33" s="827"/>
      <c r="BK33" s="34" t="s">
        <v>2</v>
      </c>
      <c r="BL33" s="34"/>
      <c r="BM33" s="830"/>
      <c r="BN33" s="809"/>
      <c r="BO33" s="809"/>
      <c r="BP33" s="7" t="s">
        <v>2</v>
      </c>
      <c r="BQ33" s="7"/>
      <c r="BR33" s="831"/>
      <c r="BS33" s="827"/>
      <c r="BT33" s="827"/>
      <c r="BU33" s="52" t="s">
        <v>54</v>
      </c>
      <c r="BV33" s="34"/>
      <c r="BW33" s="830"/>
      <c r="BX33" s="829"/>
      <c r="BY33" s="809"/>
      <c r="BZ33" s="7" t="s">
        <v>2</v>
      </c>
      <c r="CA33" s="7"/>
      <c r="CB33" s="49" t="s">
        <v>2</v>
      </c>
      <c r="CC33" s="827"/>
      <c r="CD33" s="827"/>
      <c r="CE33" s="827"/>
      <c r="CF33" s="827"/>
      <c r="CG33" s="830"/>
    </row>
    <row r="34" spans="1:85" ht="61.5" customHeight="1">
      <c r="A34" s="471" t="s">
        <v>82</v>
      </c>
      <c r="B34" s="505" t="s">
        <v>83</v>
      </c>
      <c r="C34" s="133" t="s">
        <v>84</v>
      </c>
      <c r="D34" s="475" t="s">
        <v>19</v>
      </c>
      <c r="E34" s="472" t="s">
        <v>71</v>
      </c>
      <c r="F34" s="65"/>
      <c r="K34" s="68"/>
      <c r="L34" s="15"/>
      <c r="M34" s="15"/>
      <c r="N34" s="15"/>
      <c r="O34" s="15"/>
      <c r="P34" s="65"/>
      <c r="Q34" s="16"/>
      <c r="U34" s="43"/>
      <c r="V34" s="827"/>
      <c r="W34" s="34"/>
      <c r="X34" s="34"/>
      <c r="Y34" s="34"/>
      <c r="Z34" s="66"/>
      <c r="AA34" s="7"/>
      <c r="AB34" s="7"/>
      <c r="AC34" s="7"/>
      <c r="AD34" s="7"/>
      <c r="AE34" s="828"/>
      <c r="AF34" s="827"/>
      <c r="AG34" s="34"/>
      <c r="AH34" s="34"/>
      <c r="AI34" s="11" t="s">
        <v>53</v>
      </c>
      <c r="AJ34" s="829"/>
      <c r="AK34" s="809"/>
      <c r="AL34" s="7"/>
      <c r="AM34" s="7"/>
      <c r="AN34" s="809"/>
      <c r="AO34" s="828"/>
      <c r="AP34" s="827"/>
      <c r="AQ34" s="34"/>
      <c r="AR34" s="34"/>
      <c r="AS34" s="830"/>
      <c r="AU34" s="809"/>
      <c r="AV34" s="7"/>
      <c r="AW34" s="7"/>
      <c r="AY34" s="43"/>
      <c r="AZ34" s="827"/>
      <c r="BA34" s="34"/>
      <c r="BB34" s="34"/>
      <c r="BC34" s="44"/>
      <c r="BE34" s="809"/>
      <c r="BF34" s="7"/>
      <c r="BG34" s="7"/>
      <c r="BH34" s="831"/>
      <c r="BI34" s="827"/>
      <c r="BJ34" s="827"/>
      <c r="BK34" s="34"/>
      <c r="BL34" s="34"/>
      <c r="BM34" s="830"/>
      <c r="BN34" s="809"/>
      <c r="BO34" s="809"/>
      <c r="BP34" s="7"/>
      <c r="BQ34" s="7"/>
      <c r="BR34" s="831"/>
      <c r="BS34" s="827"/>
      <c r="BT34" s="827"/>
      <c r="BU34" s="52" t="s">
        <v>54</v>
      </c>
      <c r="BV34" s="34"/>
      <c r="BW34" s="830"/>
      <c r="BX34" s="829"/>
      <c r="BY34" s="809"/>
      <c r="BZ34" s="7"/>
      <c r="CA34" s="7"/>
      <c r="CB34" s="49"/>
      <c r="CC34" s="827"/>
      <c r="CD34" s="827"/>
      <c r="CE34" s="827"/>
      <c r="CF34" s="827"/>
      <c r="CG34" s="830"/>
    </row>
    <row r="35" spans="1:85" s="136" customFormat="1" ht="33" customHeight="1">
      <c r="A35" s="470" t="s">
        <v>85</v>
      </c>
      <c r="B35" s="506" t="s">
        <v>86</v>
      </c>
      <c r="C35" s="492" t="s">
        <v>87</v>
      </c>
      <c r="D35" s="476" t="s">
        <v>19</v>
      </c>
      <c r="E35" s="479" t="s">
        <v>88</v>
      </c>
      <c r="F35" s="117"/>
      <c r="K35" s="137"/>
      <c r="L35" s="138"/>
      <c r="M35" s="138"/>
      <c r="N35" s="167" t="s">
        <v>67</v>
      </c>
      <c r="O35" s="138"/>
      <c r="P35" s="117"/>
      <c r="Q35" s="139"/>
      <c r="U35" s="140"/>
      <c r="V35" s="832"/>
      <c r="W35" s="62"/>
      <c r="X35" s="62"/>
      <c r="Y35" s="34"/>
      <c r="Z35" s="67"/>
      <c r="AA35" s="60"/>
      <c r="AB35" s="60"/>
      <c r="AC35" s="60"/>
      <c r="AD35" s="60"/>
      <c r="AE35" s="833"/>
      <c r="AF35" s="832"/>
      <c r="AG35" s="62"/>
      <c r="AH35" s="62"/>
      <c r="AI35" s="141"/>
      <c r="AJ35" s="834"/>
      <c r="AK35" s="835"/>
      <c r="AL35" s="60"/>
      <c r="AM35" s="60"/>
      <c r="AN35" s="835"/>
      <c r="AO35" s="833"/>
      <c r="AP35" s="832"/>
      <c r="AQ35" s="62"/>
      <c r="AR35" s="62"/>
      <c r="AS35" s="836"/>
      <c r="AU35" s="835"/>
      <c r="AV35" s="60"/>
      <c r="AW35" s="60"/>
      <c r="AY35" s="140"/>
      <c r="AZ35" s="832"/>
      <c r="BA35" s="62"/>
      <c r="BB35" s="62"/>
      <c r="BC35" s="142"/>
      <c r="BE35" s="835"/>
      <c r="BF35" s="60"/>
      <c r="BG35" s="60"/>
      <c r="BH35" s="837"/>
      <c r="BI35" s="832"/>
      <c r="BJ35" s="832"/>
      <c r="BK35" s="62"/>
      <c r="BL35" s="62"/>
      <c r="BM35" s="836"/>
      <c r="BN35" s="835"/>
      <c r="BO35" s="835"/>
      <c r="BP35" s="60"/>
      <c r="BQ35" s="60"/>
      <c r="BR35" s="837"/>
      <c r="BS35" s="832"/>
      <c r="BT35" s="832"/>
      <c r="BU35" s="143"/>
      <c r="BV35" s="62"/>
      <c r="BW35" s="836"/>
      <c r="BX35" s="834"/>
      <c r="BY35" s="835"/>
      <c r="BZ35" s="60"/>
      <c r="CA35" s="60"/>
      <c r="CB35" s="144"/>
      <c r="CC35" s="832"/>
      <c r="CD35" s="832"/>
      <c r="CE35" s="832"/>
      <c r="CF35" s="832"/>
      <c r="CG35" s="836"/>
    </row>
    <row r="36" spans="1:85">
      <c r="A36" s="477" t="s">
        <v>89</v>
      </c>
      <c r="B36" s="838" t="s">
        <v>90</v>
      </c>
      <c r="C36" s="517" t="s">
        <v>91</v>
      </c>
      <c r="D36" s="488"/>
      <c r="E36" s="839" t="s">
        <v>58</v>
      </c>
      <c r="F36" s="66" t="s">
        <v>2</v>
      </c>
      <c r="G36" s="809"/>
      <c r="H36" s="809"/>
      <c r="I36" s="809"/>
      <c r="J36" s="809"/>
      <c r="K36" s="69" t="s">
        <v>2</v>
      </c>
      <c r="L36" s="827"/>
      <c r="M36" s="827"/>
      <c r="N36" s="167" t="s">
        <v>67</v>
      </c>
      <c r="O36" s="827"/>
      <c r="P36" s="66" t="s">
        <v>2</v>
      </c>
      <c r="Q36" s="7"/>
      <c r="R36" s="809"/>
      <c r="S36" s="809"/>
      <c r="T36" s="809"/>
      <c r="U36" s="828"/>
      <c r="V36" s="827"/>
      <c r="W36" s="34" t="s">
        <v>2</v>
      </c>
      <c r="X36" s="34"/>
      <c r="Y36" s="34"/>
      <c r="Z36" s="65"/>
      <c r="AA36" s="7"/>
      <c r="AB36" s="7" t="s">
        <v>2</v>
      </c>
      <c r="AC36" s="7"/>
      <c r="AD36" s="7"/>
      <c r="AE36" s="828"/>
      <c r="AF36" s="827"/>
      <c r="AG36" s="34" t="s">
        <v>2</v>
      </c>
      <c r="AH36" s="34"/>
      <c r="AI36" s="11" t="s">
        <v>53</v>
      </c>
      <c r="AJ36" s="829"/>
      <c r="AK36" s="809"/>
      <c r="AL36" s="7" t="s">
        <v>2</v>
      </c>
      <c r="AM36" s="7"/>
      <c r="AN36" s="809"/>
      <c r="AO36" s="828"/>
      <c r="AP36" s="827"/>
      <c r="AQ36" s="34" t="s">
        <v>2</v>
      </c>
      <c r="AR36" s="34"/>
      <c r="AS36" s="830"/>
      <c r="AU36" s="809"/>
      <c r="AV36" s="7" t="s">
        <v>2</v>
      </c>
      <c r="AW36" s="7"/>
      <c r="AY36" s="43"/>
      <c r="AZ36" s="827"/>
      <c r="BA36" s="34" t="s">
        <v>2</v>
      </c>
      <c r="BB36" s="34"/>
      <c r="BC36" s="44"/>
      <c r="BE36" s="809"/>
      <c r="BF36" s="7" t="s">
        <v>2</v>
      </c>
      <c r="BG36" s="7"/>
      <c r="BH36" s="831"/>
      <c r="BI36" s="827"/>
      <c r="BJ36" s="827"/>
      <c r="BK36" s="34" t="s">
        <v>2</v>
      </c>
      <c r="BL36" s="34"/>
      <c r="BM36" s="830"/>
      <c r="BN36" s="809"/>
      <c r="BO36" s="809"/>
      <c r="BP36" s="7" t="s">
        <v>2</v>
      </c>
      <c r="BQ36" s="7"/>
      <c r="BR36" s="831"/>
      <c r="BS36" s="827"/>
      <c r="BT36" s="827"/>
      <c r="BU36" s="52" t="s">
        <v>54</v>
      </c>
      <c r="BV36" s="34"/>
      <c r="BW36" s="830"/>
      <c r="BX36" s="829"/>
      <c r="BY36" s="809"/>
      <c r="BZ36" s="7" t="s">
        <v>2</v>
      </c>
      <c r="CA36" s="7"/>
      <c r="CB36" s="49" t="s">
        <v>2</v>
      </c>
      <c r="CC36" s="827"/>
      <c r="CD36" s="827"/>
      <c r="CE36" s="827"/>
      <c r="CF36" s="827"/>
      <c r="CG36" s="830"/>
    </row>
    <row r="37" spans="1:85">
      <c r="A37" s="478" t="s">
        <v>92</v>
      </c>
      <c r="B37" s="179" t="s">
        <v>93</v>
      </c>
      <c r="C37" s="560" t="s">
        <v>94</v>
      </c>
      <c r="D37" s="489" t="s">
        <v>19</v>
      </c>
      <c r="E37" s="472" t="s">
        <v>95</v>
      </c>
      <c r="F37" s="829"/>
      <c r="G37" s="7"/>
      <c r="H37" s="47"/>
      <c r="I37" s="809"/>
      <c r="J37" s="809"/>
      <c r="K37" s="828"/>
      <c r="L37" s="827"/>
      <c r="M37" s="827"/>
      <c r="N37" s="167" t="s">
        <v>67</v>
      </c>
      <c r="O37" s="827"/>
      <c r="P37" s="829"/>
      <c r="Q37" s="809"/>
      <c r="R37" s="809"/>
      <c r="S37" s="809"/>
      <c r="T37" s="809"/>
      <c r="U37" s="828"/>
      <c r="V37" s="827"/>
      <c r="W37" s="827"/>
      <c r="X37" s="827"/>
      <c r="Y37" s="34"/>
      <c r="Z37" s="66"/>
      <c r="AA37" s="7"/>
      <c r="AB37" s="7"/>
      <c r="AC37" s="7"/>
      <c r="AD37" s="7"/>
      <c r="AE37" s="828"/>
      <c r="AF37" s="827"/>
      <c r="AG37" s="827"/>
      <c r="AH37" s="827"/>
      <c r="AI37" s="11" t="s">
        <v>53</v>
      </c>
      <c r="AJ37" s="829"/>
      <c r="AK37" s="809"/>
      <c r="AL37" s="809"/>
      <c r="AM37" s="809"/>
      <c r="AN37" s="809"/>
      <c r="AO37" s="828"/>
      <c r="AP37" s="827"/>
      <c r="AQ37" s="827"/>
      <c r="AR37" s="827"/>
      <c r="AS37" s="830"/>
      <c r="AU37" s="809"/>
      <c r="AV37" s="809"/>
      <c r="AW37" s="809"/>
      <c r="AY37" s="43"/>
      <c r="AZ37" s="827"/>
      <c r="BA37" s="827"/>
      <c r="BB37" s="827"/>
      <c r="BC37" s="44"/>
      <c r="BE37" s="809"/>
      <c r="BF37" s="809"/>
      <c r="BG37" s="809"/>
      <c r="BH37" s="831"/>
      <c r="BI37" s="827"/>
      <c r="BJ37" s="827"/>
      <c r="BK37" s="827"/>
      <c r="BL37" s="827"/>
      <c r="BM37" s="830"/>
      <c r="BN37" s="809"/>
      <c r="BO37" s="809"/>
      <c r="BP37" s="809"/>
      <c r="BQ37" s="809"/>
      <c r="BR37" s="831"/>
      <c r="BS37" s="827"/>
      <c r="BT37" s="827"/>
      <c r="BU37" s="52" t="s">
        <v>54</v>
      </c>
      <c r="BV37" s="827"/>
      <c r="BW37" s="830"/>
      <c r="BX37" s="829"/>
      <c r="BY37" s="809"/>
      <c r="BZ37" s="809"/>
      <c r="CA37" s="809"/>
      <c r="CB37" s="831"/>
      <c r="CC37" s="827"/>
      <c r="CD37" s="827"/>
      <c r="CE37" s="827"/>
      <c r="CF37" s="827"/>
      <c r="CG37" s="830"/>
    </row>
    <row r="38" spans="1:85" ht="45.75" customHeight="1">
      <c r="A38" s="471" t="s">
        <v>96</v>
      </c>
      <c r="B38" s="559" t="s">
        <v>97</v>
      </c>
      <c r="C38" s="133" t="s">
        <v>98</v>
      </c>
      <c r="D38" s="490" t="s">
        <v>99</v>
      </c>
      <c r="E38" s="116" t="s">
        <v>100</v>
      </c>
      <c r="F38" s="65" t="s">
        <v>2</v>
      </c>
      <c r="K38" s="68" t="s">
        <v>2</v>
      </c>
      <c r="L38" s="15"/>
      <c r="M38" s="15"/>
      <c r="N38" s="15"/>
      <c r="O38" s="15"/>
      <c r="P38" s="65" t="s">
        <v>2</v>
      </c>
      <c r="Q38" s="16"/>
      <c r="R38" s="167" t="s">
        <v>67</v>
      </c>
      <c r="S38" s="170" t="s">
        <v>67</v>
      </c>
      <c r="T38" s="155"/>
      <c r="U38" s="167" t="s">
        <v>81</v>
      </c>
      <c r="V38" s="167" t="s">
        <v>67</v>
      </c>
      <c r="W38" s="34" t="s">
        <v>2</v>
      </c>
      <c r="X38" s="34"/>
      <c r="Y38" s="34"/>
      <c r="Z38" s="66"/>
      <c r="AA38" s="7"/>
      <c r="AB38" s="7"/>
      <c r="AC38" s="7"/>
      <c r="AD38" s="7"/>
      <c r="AE38" s="828"/>
      <c r="AF38" s="827"/>
      <c r="AG38" s="34" t="s">
        <v>2</v>
      </c>
      <c r="AH38" s="34"/>
      <c r="AI38" s="11" t="s">
        <v>53</v>
      </c>
      <c r="AJ38" s="829"/>
      <c r="AK38" s="809"/>
      <c r="AL38" s="7" t="s">
        <v>2</v>
      </c>
      <c r="AM38" s="7"/>
      <c r="AN38" s="809"/>
      <c r="AO38" s="828"/>
      <c r="AP38" s="827"/>
      <c r="AQ38" s="34" t="s">
        <v>2</v>
      </c>
      <c r="AR38" s="34"/>
      <c r="AS38" s="830"/>
      <c r="AU38" s="809"/>
      <c r="AV38" s="7" t="s">
        <v>2</v>
      </c>
      <c r="AW38" s="7"/>
      <c r="AY38" s="43"/>
      <c r="AZ38" s="827"/>
      <c r="BA38" s="34"/>
      <c r="BB38" s="34"/>
      <c r="BC38" s="44"/>
      <c r="BE38" s="809"/>
      <c r="BF38" s="7"/>
      <c r="BG38" s="7"/>
      <c r="BH38" s="831"/>
      <c r="BI38" s="827"/>
      <c r="BJ38" s="827"/>
      <c r="BK38" s="34"/>
      <c r="BL38" s="34"/>
      <c r="BM38" s="830"/>
      <c r="BN38" s="809"/>
      <c r="BO38" s="809"/>
      <c r="BP38" s="7"/>
      <c r="BQ38" s="7"/>
      <c r="BR38" s="831"/>
      <c r="BS38" s="827"/>
      <c r="BT38" s="827"/>
      <c r="BU38" s="52" t="s">
        <v>54</v>
      </c>
      <c r="BV38" s="34"/>
      <c r="BW38" s="830"/>
      <c r="BX38" s="829"/>
      <c r="BY38" s="809"/>
      <c r="BZ38" s="7"/>
      <c r="CA38" s="7"/>
      <c r="CB38" s="49"/>
      <c r="CC38" s="827"/>
      <c r="CD38" s="827"/>
      <c r="CE38" s="827"/>
      <c r="CF38" s="827"/>
      <c r="CG38" s="830"/>
    </row>
    <row r="39" spans="1:85" ht="45.75">
      <c r="A39" s="481" t="s">
        <v>101</v>
      </c>
      <c r="B39" s="840" t="s">
        <v>102</v>
      </c>
      <c r="C39" s="561" t="s">
        <v>103</v>
      </c>
      <c r="D39" s="491" t="s">
        <v>57</v>
      </c>
      <c r="E39" s="841" t="s">
        <v>63</v>
      </c>
      <c r="F39" s="153"/>
      <c r="G39" s="809"/>
      <c r="H39" s="809"/>
      <c r="I39" s="809"/>
      <c r="J39" s="809"/>
      <c r="K39" s="69"/>
      <c r="L39" s="827"/>
      <c r="M39" s="827"/>
      <c r="N39" s="167" t="s">
        <v>67</v>
      </c>
      <c r="O39" s="827"/>
      <c r="P39" s="71"/>
      <c r="Q39" s="57"/>
      <c r="R39" s="57"/>
      <c r="S39" s="57"/>
      <c r="T39" s="57"/>
      <c r="U39" s="828"/>
      <c r="V39" s="827"/>
      <c r="W39" s="34"/>
      <c r="X39" s="34"/>
      <c r="Y39" s="34"/>
      <c r="Z39" s="66"/>
      <c r="AA39" s="7"/>
      <c r="AB39" s="7"/>
      <c r="AC39" s="7"/>
      <c r="AD39" s="7"/>
      <c r="AE39" s="828"/>
      <c r="AF39" s="827"/>
      <c r="AG39" s="34"/>
      <c r="AH39" s="34"/>
      <c r="AI39" s="11" t="s">
        <v>53</v>
      </c>
      <c r="AJ39" s="829"/>
      <c r="AK39" s="809"/>
      <c r="AL39" s="7"/>
      <c r="AM39" s="7"/>
      <c r="AN39" s="809"/>
      <c r="AO39" s="828"/>
      <c r="AP39" s="827"/>
      <c r="AQ39" s="34"/>
      <c r="AR39" s="34"/>
      <c r="AS39" s="830"/>
      <c r="AU39" s="809"/>
      <c r="AV39" s="7"/>
      <c r="AW39" s="7"/>
      <c r="AY39" s="43"/>
      <c r="AZ39" s="827"/>
      <c r="BA39" s="34"/>
      <c r="BB39" s="34"/>
      <c r="BC39" s="44"/>
      <c r="BE39" s="809"/>
      <c r="BF39" s="7"/>
      <c r="BG39" s="7"/>
      <c r="BH39" s="831"/>
      <c r="BI39" s="827"/>
      <c r="BJ39" s="827"/>
      <c r="BK39" s="34"/>
      <c r="BL39" s="34"/>
      <c r="BM39" s="830"/>
      <c r="BN39" s="809"/>
      <c r="BO39" s="809"/>
      <c r="BP39" s="7"/>
      <c r="BQ39" s="7"/>
      <c r="BR39" s="831"/>
      <c r="BS39" s="827"/>
      <c r="BT39" s="827"/>
      <c r="BU39" s="52"/>
      <c r="BV39" s="34"/>
      <c r="BW39" s="830"/>
      <c r="BX39" s="829"/>
      <c r="BY39" s="809"/>
      <c r="BZ39" s="7"/>
      <c r="CA39" s="7"/>
      <c r="CB39" s="49"/>
      <c r="CC39" s="827"/>
      <c r="CD39" s="827"/>
      <c r="CE39" s="827"/>
      <c r="CF39" s="827"/>
      <c r="CG39" s="830"/>
    </row>
    <row r="40" spans="1:85" s="136" customFormat="1" ht="31.5" customHeight="1">
      <c r="A40" s="508" t="s">
        <v>104</v>
      </c>
      <c r="B40" s="505" t="s">
        <v>105</v>
      </c>
      <c r="C40" s="485" t="s">
        <v>106</v>
      </c>
      <c r="D40" s="570" t="s">
        <v>107</v>
      </c>
      <c r="E40" s="515" t="s">
        <v>88</v>
      </c>
      <c r="F40" s="834"/>
      <c r="G40" s="60"/>
      <c r="H40" s="61"/>
      <c r="I40" s="835"/>
      <c r="J40" s="835"/>
      <c r="K40" s="833"/>
      <c r="L40" s="832"/>
      <c r="M40" s="832"/>
      <c r="N40" s="832"/>
      <c r="O40" s="832"/>
      <c r="P40" s="834"/>
      <c r="Q40" s="835"/>
      <c r="R40" s="514" t="s">
        <v>67</v>
      </c>
      <c r="S40" s="835"/>
      <c r="T40" s="835"/>
      <c r="U40" s="833"/>
      <c r="V40" s="832"/>
      <c r="W40" s="832"/>
      <c r="X40" s="832"/>
      <c r="Y40" s="34"/>
      <c r="Z40" s="67"/>
      <c r="AA40" s="60"/>
      <c r="AB40" s="60"/>
      <c r="AC40" s="60"/>
      <c r="AD40" s="60"/>
      <c r="AE40" s="833"/>
      <c r="AF40" s="832"/>
      <c r="AG40" s="62"/>
      <c r="AH40" s="62"/>
      <c r="AI40" s="141" t="s">
        <v>53</v>
      </c>
      <c r="AJ40" s="834"/>
      <c r="AK40" s="835"/>
      <c r="AL40" s="835"/>
      <c r="AM40" s="835"/>
      <c r="AN40" s="835"/>
      <c r="AO40" s="833"/>
      <c r="AP40" s="832"/>
      <c r="AQ40" s="832"/>
      <c r="AR40" s="832"/>
      <c r="AS40" s="836"/>
      <c r="AU40" s="835"/>
      <c r="AV40" s="835"/>
      <c r="AW40" s="835"/>
      <c r="AY40" s="140"/>
      <c r="AZ40" s="832"/>
      <c r="BA40" s="832"/>
      <c r="BB40" s="832"/>
      <c r="BC40" s="142"/>
      <c r="BE40" s="835"/>
      <c r="BF40" s="835"/>
      <c r="BG40" s="835"/>
      <c r="BH40" s="837"/>
      <c r="BI40" s="832"/>
      <c r="BJ40" s="832"/>
      <c r="BK40" s="832"/>
      <c r="BL40" s="832"/>
      <c r="BM40" s="836"/>
      <c r="BN40" s="835"/>
      <c r="BO40" s="835"/>
      <c r="BP40" s="835"/>
      <c r="BQ40" s="835"/>
      <c r="BR40" s="837"/>
      <c r="BS40" s="832"/>
      <c r="BT40" s="832"/>
      <c r="BU40" s="143" t="s">
        <v>54</v>
      </c>
      <c r="BV40" s="832"/>
      <c r="BW40" s="836"/>
      <c r="BX40" s="834"/>
      <c r="BY40" s="835"/>
      <c r="BZ40" s="835"/>
      <c r="CA40" s="835"/>
      <c r="CB40" s="837"/>
      <c r="CC40" s="832"/>
      <c r="CD40" s="832"/>
      <c r="CE40" s="832"/>
      <c r="CF40" s="832"/>
      <c r="CG40" s="836"/>
    </row>
    <row r="41" spans="1:85" ht="45.75">
      <c r="A41" s="477" t="s">
        <v>108</v>
      </c>
      <c r="B41" s="842" t="s">
        <v>109</v>
      </c>
      <c r="C41" s="134" t="s">
        <v>110</v>
      </c>
      <c r="D41" s="572" t="s">
        <v>111</v>
      </c>
      <c r="E41" s="843" t="s">
        <v>112</v>
      </c>
      <c r="F41" s="7"/>
      <c r="G41" s="809"/>
      <c r="H41" s="809"/>
      <c r="I41" s="809"/>
      <c r="J41" s="809"/>
      <c r="K41" s="69"/>
      <c r="L41" s="827"/>
      <c r="M41" s="827"/>
      <c r="N41" s="827"/>
      <c r="O41" s="827"/>
      <c r="P41" s="66"/>
      <c r="Q41" s="7"/>
      <c r="R41" s="809"/>
      <c r="S41" s="167" t="s">
        <v>67</v>
      </c>
      <c r="T41" s="809"/>
      <c r="U41" s="828"/>
      <c r="V41" s="827"/>
      <c r="W41" s="34"/>
      <c r="X41" s="34"/>
      <c r="Y41" s="34"/>
      <c r="Z41" s="66"/>
      <c r="AA41" s="7"/>
      <c r="AB41" s="7"/>
      <c r="AC41" s="7"/>
      <c r="AD41" s="7"/>
      <c r="AE41" s="828"/>
      <c r="AF41" s="827"/>
      <c r="AG41" s="34"/>
      <c r="AH41" s="34"/>
      <c r="AI41" s="11" t="s">
        <v>53</v>
      </c>
      <c r="AJ41" s="829"/>
      <c r="AK41" s="809"/>
      <c r="AL41" s="7"/>
      <c r="AM41" s="7"/>
      <c r="AN41" s="809"/>
      <c r="AO41" s="828"/>
      <c r="AP41" s="827"/>
      <c r="AQ41" s="34"/>
      <c r="AR41" s="34"/>
      <c r="AS41" s="830"/>
      <c r="AU41" s="809"/>
      <c r="AV41" s="7"/>
      <c r="AW41" s="7"/>
      <c r="AY41" s="43"/>
      <c r="AZ41" s="827"/>
      <c r="BA41" s="34"/>
      <c r="BB41" s="34"/>
      <c r="BC41" s="44"/>
      <c r="BE41" s="809"/>
      <c r="BF41" s="7"/>
      <c r="BG41" s="7"/>
      <c r="BH41" s="831"/>
      <c r="BI41" s="827"/>
      <c r="BJ41" s="827"/>
      <c r="BK41" s="34"/>
      <c r="BL41" s="34"/>
      <c r="BM41" s="830"/>
      <c r="BN41" s="809"/>
      <c r="BO41" s="809"/>
      <c r="BP41" s="7"/>
      <c r="BQ41" s="7"/>
      <c r="BR41" s="831"/>
      <c r="BS41" s="827"/>
      <c r="BT41" s="827"/>
      <c r="BU41" s="52" t="s">
        <v>54</v>
      </c>
      <c r="BV41" s="827"/>
      <c r="BW41" s="830"/>
      <c r="BX41" s="829"/>
      <c r="BY41" s="809"/>
      <c r="BZ41" s="7"/>
      <c r="CA41" s="7"/>
      <c r="CB41" s="49"/>
      <c r="CC41" s="827"/>
      <c r="CD41" s="827"/>
      <c r="CE41" s="827"/>
      <c r="CF41" s="827"/>
      <c r="CG41" s="830"/>
    </row>
    <row r="42" spans="1:85">
      <c r="A42" s="478" t="s">
        <v>113</v>
      </c>
      <c r="B42" s="179" t="s">
        <v>114</v>
      </c>
      <c r="C42" s="133" t="s">
        <v>70</v>
      </c>
      <c r="D42" s="571" t="s">
        <v>19</v>
      </c>
      <c r="E42" s="516" t="s">
        <v>71</v>
      </c>
      <c r="F42" s="829"/>
      <c r="G42" s="7"/>
      <c r="H42" s="47"/>
      <c r="I42" s="809"/>
      <c r="J42" s="809"/>
      <c r="K42" s="69"/>
      <c r="L42" s="827"/>
      <c r="M42" s="827"/>
      <c r="N42" s="827"/>
      <c r="O42" s="827"/>
      <c r="P42" s="829"/>
      <c r="Q42" s="809"/>
      <c r="R42" s="809"/>
      <c r="S42" s="809"/>
      <c r="T42" s="809"/>
      <c r="U42" s="828"/>
      <c r="V42" s="827"/>
      <c r="W42" s="34"/>
      <c r="X42" s="34"/>
      <c r="Y42" s="34"/>
      <c r="Z42" s="66"/>
      <c r="AA42" s="7"/>
      <c r="AB42" s="7"/>
      <c r="AC42" s="7"/>
      <c r="AD42" s="7"/>
      <c r="AE42" s="828"/>
      <c r="AF42" s="827"/>
      <c r="AG42" s="34"/>
      <c r="AH42" s="34"/>
      <c r="AI42" s="11" t="s">
        <v>53</v>
      </c>
      <c r="AJ42" s="829"/>
      <c r="AK42" s="809"/>
      <c r="AL42" s="809"/>
      <c r="AM42" s="809"/>
      <c r="AN42" s="809"/>
      <c r="AO42" s="828"/>
      <c r="AP42" s="827"/>
      <c r="AQ42" s="827"/>
      <c r="AR42" s="827"/>
      <c r="AS42" s="830"/>
      <c r="AU42" s="809"/>
      <c r="AV42" s="809"/>
      <c r="AW42" s="809"/>
      <c r="AY42" s="43"/>
      <c r="AZ42" s="827"/>
      <c r="BA42" s="827"/>
      <c r="BB42" s="827"/>
      <c r="BC42" s="44"/>
      <c r="BE42" s="809"/>
      <c r="BF42" s="809"/>
      <c r="BG42" s="809"/>
      <c r="BH42" s="831"/>
      <c r="BI42" s="827"/>
      <c r="BJ42" s="827"/>
      <c r="BK42" s="827"/>
      <c r="BL42" s="827"/>
      <c r="BM42" s="830"/>
      <c r="BN42" s="809"/>
      <c r="BO42" s="809"/>
      <c r="BP42" s="809"/>
      <c r="BQ42" s="809"/>
      <c r="BR42" s="831"/>
      <c r="BS42" s="827"/>
      <c r="BT42" s="827"/>
      <c r="BU42" s="52" t="s">
        <v>54</v>
      </c>
      <c r="BV42" s="827"/>
      <c r="BW42" s="830"/>
      <c r="BX42" s="829"/>
      <c r="BY42" s="809"/>
      <c r="BZ42" s="809"/>
      <c r="CA42" s="809"/>
      <c r="CB42" s="831"/>
      <c r="CC42" s="827"/>
      <c r="CD42" s="827"/>
      <c r="CE42" s="827"/>
      <c r="CF42" s="827"/>
      <c r="CG42" s="830"/>
    </row>
    <row r="43" spans="1:85" ht="45.75">
      <c r="A43" s="450" t="s">
        <v>115</v>
      </c>
      <c r="B43" s="486" t="s">
        <v>116</v>
      </c>
      <c r="C43" s="134" t="s">
        <v>70</v>
      </c>
      <c r="D43" s="487" t="s">
        <v>117</v>
      </c>
      <c r="E43" s="451" t="s">
        <v>71</v>
      </c>
      <c r="F43" s="829"/>
      <c r="G43" s="7"/>
      <c r="H43" s="47"/>
      <c r="I43" s="809"/>
      <c r="J43" s="809"/>
      <c r="K43" s="69"/>
      <c r="L43" s="827"/>
      <c r="M43" s="827"/>
      <c r="N43" s="827"/>
      <c r="O43" s="827"/>
      <c r="P43" s="829"/>
      <c r="Q43" s="809"/>
      <c r="R43" s="809"/>
      <c r="S43" s="809"/>
      <c r="T43" s="809"/>
      <c r="U43" s="828"/>
      <c r="V43" s="827"/>
      <c r="W43" s="34"/>
      <c r="X43" s="34"/>
      <c r="Y43" s="34"/>
      <c r="Z43" s="66"/>
      <c r="AA43" s="7"/>
      <c r="AB43" s="7"/>
      <c r="AC43" s="7"/>
      <c r="AD43" s="7"/>
      <c r="AE43" s="828"/>
      <c r="AF43" s="827"/>
      <c r="AG43" s="34"/>
      <c r="AH43" s="34"/>
      <c r="AI43" s="11" t="s">
        <v>53</v>
      </c>
      <c r="AJ43" s="829"/>
      <c r="AK43" s="809"/>
      <c r="AL43" s="809"/>
      <c r="AM43" s="809"/>
      <c r="AN43" s="809"/>
      <c r="AO43" s="828"/>
      <c r="AP43" s="827"/>
      <c r="AQ43" s="34"/>
      <c r="AR43" s="34"/>
      <c r="AS43" s="830"/>
      <c r="AU43" s="809"/>
      <c r="AV43" s="809"/>
      <c r="AW43" s="809"/>
      <c r="AY43" s="43"/>
      <c r="AZ43" s="827"/>
      <c r="BA43" s="34"/>
      <c r="BB43" s="34"/>
      <c r="BC43" s="44"/>
      <c r="BE43" s="809"/>
      <c r="BF43" s="809"/>
      <c r="BG43" s="809"/>
      <c r="BH43" s="831"/>
      <c r="BI43" s="827"/>
      <c r="BJ43" s="827"/>
      <c r="BK43" s="34"/>
      <c r="BL43" s="34"/>
      <c r="BM43" s="830"/>
      <c r="BN43" s="809"/>
      <c r="BO43" s="809"/>
      <c r="BP43" s="809"/>
      <c r="BQ43" s="809"/>
      <c r="BR43" s="831"/>
      <c r="BS43" s="827"/>
      <c r="BT43" s="827"/>
      <c r="BU43" s="52" t="s">
        <v>54</v>
      </c>
      <c r="BV43" s="827"/>
      <c r="BW43" s="830"/>
      <c r="BX43" s="829"/>
      <c r="BY43" s="809"/>
      <c r="BZ43" s="809"/>
      <c r="CA43" s="809"/>
      <c r="CB43" s="831"/>
      <c r="CC43" s="827"/>
      <c r="CD43" s="827"/>
      <c r="CE43" s="827"/>
      <c r="CF43" s="827"/>
      <c r="CG43" s="830"/>
    </row>
    <row r="44" spans="1:85" ht="30.75">
      <c r="A44" s="145" t="s">
        <v>118</v>
      </c>
      <c r="B44" s="115" t="s">
        <v>119</v>
      </c>
      <c r="C44" s="588" t="s">
        <v>120</v>
      </c>
      <c r="D44" s="587" t="s">
        <v>19</v>
      </c>
      <c r="E44" s="473" t="s">
        <v>58</v>
      </c>
      <c r="F44" s="809"/>
      <c r="G44" s="7"/>
      <c r="H44" s="47"/>
      <c r="I44" s="809"/>
      <c r="J44" s="809"/>
      <c r="K44" s="69"/>
      <c r="L44" s="827"/>
      <c r="M44" s="827"/>
      <c r="N44" s="827"/>
      <c r="O44" s="827"/>
      <c r="P44" s="829"/>
      <c r="Q44" s="809"/>
      <c r="R44" s="809"/>
      <c r="S44" s="809"/>
      <c r="T44" s="809"/>
      <c r="U44" s="828"/>
      <c r="V44" s="827"/>
      <c r="W44" s="34"/>
      <c r="X44" s="34"/>
      <c r="Y44" s="34"/>
      <c r="Z44" s="66"/>
      <c r="AA44" s="7"/>
      <c r="AB44" s="7"/>
      <c r="AC44" s="7"/>
      <c r="AD44" s="7"/>
      <c r="AE44" s="828"/>
      <c r="AF44" s="827"/>
      <c r="AG44" s="34"/>
      <c r="AH44" s="34"/>
      <c r="AI44" s="11"/>
      <c r="AJ44" s="829"/>
      <c r="AK44" s="809"/>
      <c r="AL44" s="809"/>
      <c r="AM44" s="809"/>
      <c r="AN44" s="809"/>
      <c r="AO44" s="828"/>
      <c r="AP44" s="827"/>
      <c r="AQ44" s="34"/>
      <c r="AR44" s="34"/>
      <c r="AS44" s="830"/>
      <c r="AU44" s="809"/>
      <c r="AV44" s="809"/>
      <c r="AW44" s="809"/>
      <c r="AY44" s="43"/>
      <c r="AZ44" s="827"/>
      <c r="BA44" s="34"/>
      <c r="BB44" s="34"/>
      <c r="BC44" s="44"/>
      <c r="BE44" s="809"/>
      <c r="BF44" s="809"/>
      <c r="BG44" s="809"/>
      <c r="BH44" s="831"/>
      <c r="BI44" s="827"/>
      <c r="BJ44" s="827"/>
      <c r="BK44" s="34"/>
      <c r="BL44" s="34"/>
      <c r="BM44" s="830"/>
      <c r="BN44" s="809"/>
      <c r="BO44" s="809"/>
      <c r="BP44" s="809"/>
      <c r="BQ44" s="809"/>
      <c r="BR44" s="831"/>
      <c r="BS44" s="827"/>
      <c r="BT44" s="827"/>
      <c r="BU44" s="52"/>
      <c r="BV44" s="827"/>
      <c r="BW44" s="830"/>
      <c r="BX44" s="829"/>
      <c r="BY44" s="809"/>
      <c r="BZ44" s="809"/>
      <c r="CA44" s="809"/>
      <c r="CB44" s="831"/>
      <c r="CC44" s="827"/>
      <c r="CD44" s="827"/>
      <c r="CE44" s="827"/>
      <c r="CF44" s="827"/>
      <c r="CG44" s="830"/>
    </row>
    <row r="45" spans="1:85" ht="30.75">
      <c r="A45" s="546" t="s">
        <v>121</v>
      </c>
      <c r="B45" s="547" t="s">
        <v>122</v>
      </c>
      <c r="C45" s="556" t="s">
        <v>91</v>
      </c>
      <c r="D45" s="563" t="s">
        <v>123</v>
      </c>
      <c r="E45" s="562" t="s">
        <v>66</v>
      </c>
      <c r="F45" s="65"/>
      <c r="K45" s="69"/>
      <c r="L45" s="827"/>
      <c r="M45" s="827"/>
      <c r="N45" s="827"/>
      <c r="O45" s="827"/>
      <c r="P45" s="65"/>
      <c r="Q45" s="16"/>
      <c r="U45" s="43"/>
      <c r="V45" s="827"/>
      <c r="W45" s="34"/>
      <c r="X45" s="34"/>
      <c r="Y45" s="34"/>
      <c r="Z45" s="66"/>
      <c r="AA45" s="7"/>
      <c r="AB45" s="7"/>
      <c r="AC45" s="7"/>
      <c r="AD45" s="7"/>
      <c r="AE45" s="828"/>
      <c r="AF45" s="827"/>
      <c r="AG45" s="34"/>
      <c r="AH45" s="34"/>
      <c r="AI45" s="11" t="s">
        <v>53</v>
      </c>
      <c r="AJ45" s="829"/>
      <c r="AK45" s="809"/>
      <c r="AL45" s="7"/>
      <c r="AM45" s="7"/>
      <c r="AN45" s="809"/>
      <c r="AO45" s="828"/>
      <c r="AP45" s="827"/>
      <c r="AQ45" s="827"/>
      <c r="AR45" s="827"/>
      <c r="AS45" s="830"/>
      <c r="AU45" s="809"/>
      <c r="AV45" s="7"/>
      <c r="AW45" s="7"/>
      <c r="AY45" s="43"/>
      <c r="AZ45" s="827"/>
      <c r="BA45" s="827"/>
      <c r="BB45" s="827"/>
      <c r="BC45" s="44"/>
      <c r="BE45" s="809"/>
      <c r="BF45" s="7"/>
      <c r="BG45" s="7"/>
      <c r="BH45" s="831"/>
      <c r="BI45" s="827"/>
      <c r="BJ45" s="827"/>
      <c r="BK45" s="827"/>
      <c r="BL45" s="827"/>
      <c r="BM45" s="830"/>
      <c r="BN45" s="809"/>
      <c r="BO45" s="809"/>
      <c r="BP45" s="7"/>
      <c r="BQ45" s="7"/>
      <c r="BR45" s="831"/>
      <c r="BS45" s="827"/>
      <c r="BT45" s="827"/>
      <c r="BU45" s="52" t="s">
        <v>54</v>
      </c>
      <c r="BV45" s="827"/>
      <c r="BW45" s="830"/>
      <c r="BX45" s="829"/>
      <c r="BY45" s="809"/>
      <c r="BZ45" s="7"/>
      <c r="CA45" s="7"/>
      <c r="CB45" s="49"/>
      <c r="CC45" s="827"/>
      <c r="CD45" s="827"/>
      <c r="CE45" s="827"/>
      <c r="CF45" s="827"/>
      <c r="CG45" s="830"/>
    </row>
    <row r="46" spans="1:85" ht="67.5" customHeight="1">
      <c r="A46" s="575" t="s">
        <v>124</v>
      </c>
      <c r="B46" s="844" t="s">
        <v>125</v>
      </c>
      <c r="C46" s="569" t="s">
        <v>126</v>
      </c>
      <c r="D46" s="473" t="s">
        <v>19</v>
      </c>
      <c r="E46" s="845" t="s">
        <v>127</v>
      </c>
      <c r="F46" s="7" t="s">
        <v>2</v>
      </c>
      <c r="G46" s="809"/>
      <c r="H46" s="809"/>
      <c r="I46" s="809"/>
      <c r="J46" s="809"/>
      <c r="K46" s="69" t="s">
        <v>2</v>
      </c>
      <c r="L46" s="827"/>
      <c r="M46" s="827"/>
      <c r="N46" s="827"/>
      <c r="O46" s="827"/>
      <c r="P46" s="66" t="s">
        <v>2</v>
      </c>
      <c r="Q46" s="7"/>
      <c r="R46" s="809"/>
      <c r="S46" s="809"/>
      <c r="T46" s="809"/>
      <c r="U46" s="828"/>
      <c r="V46" s="827"/>
      <c r="W46" s="34" t="s">
        <v>2</v>
      </c>
      <c r="X46" s="34"/>
      <c r="Y46" s="34"/>
      <c r="Z46" s="66"/>
      <c r="AA46" s="7"/>
      <c r="AB46" s="7" t="s">
        <v>2</v>
      </c>
      <c r="AC46" s="7"/>
      <c r="AD46" s="7"/>
      <c r="AE46" s="828"/>
      <c r="AF46" s="827"/>
      <c r="AG46" s="34" t="s">
        <v>2</v>
      </c>
      <c r="AH46" s="34"/>
      <c r="AI46" s="11" t="s">
        <v>53</v>
      </c>
      <c r="AJ46" s="829"/>
      <c r="AK46" s="809"/>
      <c r="AL46" s="7" t="s">
        <v>2</v>
      </c>
      <c r="AM46" s="7"/>
      <c r="AN46" s="809"/>
      <c r="AO46" s="828"/>
      <c r="AP46" s="827"/>
      <c r="AQ46" s="34" t="s">
        <v>2</v>
      </c>
      <c r="AR46" s="34"/>
      <c r="AS46" s="830"/>
      <c r="AU46" s="809"/>
      <c r="AV46" s="7" t="s">
        <v>2</v>
      </c>
      <c r="AW46" s="7"/>
      <c r="AY46" s="43"/>
      <c r="AZ46" s="827"/>
      <c r="BA46" s="34"/>
      <c r="BB46" s="34"/>
      <c r="BC46" s="44"/>
      <c r="BE46" s="809"/>
      <c r="BF46" s="7"/>
      <c r="BG46" s="7"/>
      <c r="BH46" s="831"/>
      <c r="BI46" s="827"/>
      <c r="BJ46" s="827"/>
      <c r="BK46" s="34"/>
      <c r="BL46" s="34"/>
      <c r="BM46" s="830"/>
      <c r="BN46" s="809"/>
      <c r="BO46" s="809"/>
      <c r="BP46" s="7"/>
      <c r="BQ46" s="7"/>
      <c r="BR46" s="831"/>
      <c r="BS46" s="827"/>
      <c r="BT46" s="827"/>
      <c r="BU46" s="52" t="s">
        <v>54</v>
      </c>
      <c r="BV46" s="34"/>
      <c r="BW46" s="830"/>
      <c r="BX46" s="829"/>
      <c r="BY46" s="809"/>
      <c r="BZ46" s="7"/>
      <c r="CA46" s="7"/>
      <c r="CB46" s="49"/>
      <c r="CC46" s="827"/>
      <c r="CD46" s="827"/>
      <c r="CE46" s="827"/>
      <c r="CF46" s="827"/>
      <c r="CG46" s="830"/>
    </row>
    <row r="47" spans="1:85" ht="67.5" customHeight="1">
      <c r="A47" s="577"/>
      <c r="B47" s="846"/>
      <c r="C47" s="574" t="s">
        <v>128</v>
      </c>
      <c r="D47" s="578"/>
      <c r="E47" s="847"/>
      <c r="F47" s="7"/>
      <c r="G47" s="809"/>
      <c r="H47" s="809"/>
      <c r="I47" s="809"/>
      <c r="J47" s="809"/>
      <c r="K47" s="69"/>
      <c r="L47" s="827"/>
      <c r="M47" s="827"/>
      <c r="N47" s="827"/>
      <c r="O47" s="827"/>
      <c r="P47" s="66"/>
      <c r="Q47" s="7"/>
      <c r="R47" s="809"/>
      <c r="S47" s="809"/>
      <c r="T47" s="809"/>
      <c r="U47" s="828"/>
      <c r="V47" s="827"/>
      <c r="W47" s="34"/>
      <c r="X47" s="34"/>
      <c r="Y47" s="34"/>
      <c r="Z47" s="66"/>
      <c r="AA47" s="7"/>
      <c r="AB47" s="7"/>
      <c r="AC47" s="7"/>
      <c r="AD47" s="7"/>
      <c r="AE47" s="828"/>
      <c r="AF47" s="827"/>
      <c r="AG47" s="34"/>
      <c r="AH47" s="34"/>
      <c r="AI47" s="11"/>
      <c r="AJ47" s="829"/>
      <c r="AK47" s="809"/>
      <c r="AL47" s="7"/>
      <c r="AM47" s="7"/>
      <c r="AN47" s="809"/>
      <c r="AO47" s="828"/>
      <c r="AP47" s="827"/>
      <c r="AQ47" s="34"/>
      <c r="AR47" s="34"/>
      <c r="AS47" s="830"/>
      <c r="AU47" s="809"/>
      <c r="AV47" s="7"/>
      <c r="AW47" s="7"/>
      <c r="AY47" s="43"/>
      <c r="AZ47" s="827"/>
      <c r="BA47" s="34"/>
      <c r="BB47" s="34"/>
      <c r="BC47" s="44"/>
      <c r="BE47" s="809"/>
      <c r="BF47" s="7"/>
      <c r="BG47" s="7"/>
      <c r="BH47" s="831"/>
      <c r="BI47" s="827"/>
      <c r="BJ47" s="827"/>
      <c r="BK47" s="34"/>
      <c r="BL47" s="34"/>
      <c r="BM47" s="830"/>
      <c r="BN47" s="809"/>
      <c r="BO47" s="809"/>
      <c r="BP47" s="7"/>
      <c r="BQ47" s="7"/>
      <c r="BR47" s="831"/>
      <c r="BS47" s="827"/>
      <c r="BT47" s="827"/>
      <c r="BU47" s="52"/>
      <c r="BV47" s="34"/>
      <c r="BW47" s="830"/>
      <c r="BX47" s="829"/>
      <c r="BY47" s="809"/>
      <c r="BZ47" s="7"/>
      <c r="CA47" s="7"/>
      <c r="CB47" s="49"/>
      <c r="CC47" s="827"/>
      <c r="CD47" s="827"/>
      <c r="CE47" s="827"/>
      <c r="CF47" s="827"/>
      <c r="CG47" s="830"/>
    </row>
    <row r="48" spans="1:85" ht="30.75">
      <c r="A48" s="576" t="s">
        <v>129</v>
      </c>
      <c r="B48" s="848" t="s">
        <v>130</v>
      </c>
      <c r="C48" s="849" t="s">
        <v>131</v>
      </c>
      <c r="D48" s="839" t="s">
        <v>131</v>
      </c>
      <c r="E48" s="849" t="s">
        <v>131</v>
      </c>
      <c r="F48" s="7" t="s">
        <v>2</v>
      </c>
      <c r="G48" s="809"/>
      <c r="H48" s="809"/>
      <c r="I48" s="809"/>
      <c r="J48" s="809"/>
      <c r="K48" s="69" t="s">
        <v>2</v>
      </c>
      <c r="L48" s="827"/>
      <c r="M48" s="827"/>
      <c r="N48" s="827"/>
      <c r="O48" s="827"/>
      <c r="P48" s="66" t="s">
        <v>2</v>
      </c>
      <c r="Q48" s="7"/>
      <c r="R48" s="809"/>
      <c r="S48" s="809"/>
      <c r="T48" s="809"/>
      <c r="U48" s="828"/>
      <c r="V48" s="827"/>
      <c r="W48" s="34" t="s">
        <v>2</v>
      </c>
      <c r="X48" s="34"/>
      <c r="Y48" s="34"/>
      <c r="Z48" s="66"/>
      <c r="AA48" s="7"/>
      <c r="AB48" s="7" t="s">
        <v>2</v>
      </c>
      <c r="AC48" s="7"/>
      <c r="AD48" s="7"/>
      <c r="AE48" s="828"/>
      <c r="AF48" s="827"/>
      <c r="AG48" s="34" t="s">
        <v>2</v>
      </c>
      <c r="AH48" s="34"/>
      <c r="AI48" s="11" t="s">
        <v>53</v>
      </c>
      <c r="AJ48" s="829"/>
      <c r="AK48" s="809"/>
      <c r="AL48" s="7" t="s">
        <v>2</v>
      </c>
      <c r="AM48" s="7"/>
      <c r="AN48" s="809"/>
      <c r="AO48" s="828"/>
      <c r="AP48" s="827"/>
      <c r="AQ48" s="34" t="s">
        <v>2</v>
      </c>
      <c r="AR48" s="34"/>
      <c r="AS48" s="830"/>
      <c r="AU48" s="809"/>
      <c r="AV48" s="7" t="s">
        <v>2</v>
      </c>
      <c r="AW48" s="7"/>
      <c r="AY48" s="43"/>
      <c r="AZ48" s="827"/>
      <c r="BA48" s="34" t="s">
        <v>2</v>
      </c>
      <c r="BB48" s="34"/>
      <c r="BC48" s="44"/>
      <c r="BE48" s="809"/>
      <c r="BF48" s="7" t="s">
        <v>2</v>
      </c>
      <c r="BG48" s="7"/>
      <c r="BH48" s="831"/>
      <c r="BI48" s="827"/>
      <c r="BJ48" s="827"/>
      <c r="BK48" s="34" t="s">
        <v>2</v>
      </c>
      <c r="BL48" s="34"/>
      <c r="BM48" s="830"/>
      <c r="BN48" s="809"/>
      <c r="BO48" s="809"/>
      <c r="BP48" s="7" t="s">
        <v>2</v>
      </c>
      <c r="BQ48" s="7"/>
      <c r="BR48" s="831"/>
      <c r="BS48" s="827"/>
      <c r="BT48" s="827"/>
      <c r="BU48" s="52" t="s">
        <v>54</v>
      </c>
      <c r="BV48" s="34"/>
      <c r="BW48" s="830"/>
      <c r="BX48" s="829"/>
      <c r="BY48" s="809"/>
      <c r="BZ48" s="7" t="s">
        <v>2</v>
      </c>
      <c r="CA48" s="7"/>
      <c r="CB48" s="49" t="s">
        <v>2</v>
      </c>
      <c r="CC48" s="827"/>
      <c r="CD48" s="827"/>
      <c r="CE48" s="827"/>
      <c r="CF48" s="827"/>
      <c r="CG48" s="830"/>
    </row>
    <row r="49" spans="1:85" ht="30.75">
      <c r="A49" s="579" t="s">
        <v>132</v>
      </c>
      <c r="B49" s="850" t="s">
        <v>133</v>
      </c>
      <c r="C49" s="517" t="s">
        <v>110</v>
      </c>
      <c r="D49" s="851" t="s">
        <v>134</v>
      </c>
      <c r="E49" s="849" t="s">
        <v>63</v>
      </c>
      <c r="F49" s="7"/>
      <c r="G49" s="809"/>
      <c r="H49" s="809"/>
      <c r="I49" s="809"/>
      <c r="J49" s="809"/>
      <c r="K49" s="69"/>
      <c r="L49" s="827"/>
      <c r="M49" s="827"/>
      <c r="N49" s="827"/>
      <c r="O49" s="827"/>
      <c r="P49" s="66"/>
      <c r="Q49" s="7"/>
      <c r="R49" s="809"/>
      <c r="S49" s="809"/>
      <c r="T49" s="809"/>
      <c r="U49" s="828"/>
      <c r="V49" s="827"/>
      <c r="W49" s="34"/>
      <c r="X49" s="34"/>
      <c r="Y49" s="34"/>
      <c r="Z49" s="66"/>
      <c r="AA49" s="7"/>
      <c r="AB49" s="7"/>
      <c r="AC49" s="7"/>
      <c r="AD49" s="7"/>
      <c r="AE49" s="828"/>
      <c r="AF49" s="827"/>
      <c r="AG49" s="34"/>
      <c r="AH49" s="34"/>
      <c r="AI49" s="11"/>
      <c r="AJ49" s="829"/>
      <c r="AK49" s="809"/>
      <c r="AL49" s="7"/>
      <c r="AM49" s="7"/>
      <c r="AN49" s="809"/>
      <c r="AO49" s="828"/>
      <c r="AP49" s="827"/>
      <c r="AQ49" s="34"/>
      <c r="AR49" s="34"/>
      <c r="AS49" s="830"/>
      <c r="AU49" s="809"/>
      <c r="AV49" s="7"/>
      <c r="AW49" s="7"/>
      <c r="AY49" s="43"/>
      <c r="AZ49" s="827"/>
      <c r="BA49" s="34"/>
      <c r="BB49" s="34"/>
      <c r="BC49" s="44"/>
      <c r="BE49" s="809"/>
      <c r="BF49" s="7"/>
      <c r="BG49" s="7"/>
      <c r="BH49" s="831"/>
      <c r="BI49" s="827"/>
      <c r="BJ49" s="827"/>
      <c r="BK49" s="34"/>
      <c r="BL49" s="34"/>
      <c r="BM49" s="830"/>
      <c r="BN49" s="809"/>
      <c r="BO49" s="809"/>
      <c r="BP49" s="7"/>
      <c r="BQ49" s="7"/>
      <c r="BR49" s="831"/>
      <c r="BS49" s="827"/>
      <c r="BT49" s="827"/>
      <c r="BU49" s="52"/>
      <c r="BV49" s="34"/>
      <c r="BW49" s="830"/>
      <c r="BX49" s="829"/>
      <c r="BY49" s="809"/>
      <c r="BZ49" s="7"/>
      <c r="CA49" s="7"/>
      <c r="CB49" s="49"/>
      <c r="CC49" s="827"/>
      <c r="CD49" s="827"/>
      <c r="CE49" s="827"/>
      <c r="CF49" s="827"/>
      <c r="CG49" s="830"/>
    </row>
    <row r="50" spans="1:85" ht="30.75">
      <c r="A50" s="852" t="s">
        <v>135</v>
      </c>
      <c r="B50" s="838" t="s">
        <v>136</v>
      </c>
      <c r="C50" s="584" t="s">
        <v>137</v>
      </c>
      <c r="D50" s="853" t="s">
        <v>138</v>
      </c>
      <c r="E50" s="845" t="s">
        <v>95</v>
      </c>
      <c r="F50" s="7" t="s">
        <v>2</v>
      </c>
      <c r="G50" s="809"/>
      <c r="H50" s="809"/>
      <c r="I50" s="809"/>
      <c r="J50" s="809"/>
      <c r="K50" s="69" t="s">
        <v>2</v>
      </c>
      <c r="L50" s="827"/>
      <c r="M50" s="827"/>
      <c r="N50" s="827"/>
      <c r="O50" s="827"/>
      <c r="P50" s="66" t="s">
        <v>2</v>
      </c>
      <c r="Q50" s="7"/>
      <c r="R50" s="106"/>
      <c r="S50" s="171" t="s">
        <v>67</v>
      </c>
      <c r="T50" s="854"/>
      <c r="U50" s="855"/>
      <c r="V50" s="854"/>
      <c r="W50" s="151" t="s">
        <v>2</v>
      </c>
      <c r="X50" s="151"/>
      <c r="Y50" s="34"/>
      <c r="Z50" s="66"/>
      <c r="AA50" s="7"/>
      <c r="AB50" s="7" t="s">
        <v>2</v>
      </c>
      <c r="AC50" s="7"/>
      <c r="AD50" s="7"/>
      <c r="AE50" s="828"/>
      <c r="AF50" s="827"/>
      <c r="AG50" s="34" t="s">
        <v>2</v>
      </c>
      <c r="AH50" s="34"/>
      <c r="AI50" s="152" t="s">
        <v>53</v>
      </c>
      <c r="AJ50" s="829"/>
      <c r="AK50" s="809"/>
      <c r="AL50" s="7" t="s">
        <v>2</v>
      </c>
      <c r="AM50" s="7"/>
      <c r="AN50" s="809"/>
      <c r="AO50" s="828"/>
      <c r="AP50" s="827"/>
      <c r="AQ50" s="34" t="s">
        <v>2</v>
      </c>
      <c r="AR50" s="34"/>
      <c r="AS50" s="830"/>
      <c r="AU50" s="809"/>
      <c r="AV50" s="7" t="s">
        <v>2</v>
      </c>
      <c r="AW50" s="7"/>
      <c r="AY50" s="43"/>
      <c r="AZ50" s="827"/>
      <c r="BA50" s="34"/>
      <c r="BB50" s="34"/>
      <c r="BC50" s="44"/>
      <c r="BE50" s="809"/>
      <c r="BF50" s="7"/>
      <c r="BG50" s="7"/>
      <c r="BH50" s="831"/>
      <c r="BI50" s="827"/>
      <c r="BJ50" s="827"/>
      <c r="BK50" s="34"/>
      <c r="BL50" s="34"/>
      <c r="BM50" s="830"/>
      <c r="BN50" s="809"/>
      <c r="BO50" s="809"/>
      <c r="BP50" s="7"/>
      <c r="BQ50" s="7"/>
      <c r="BR50" s="831"/>
      <c r="BS50" s="827"/>
      <c r="BT50" s="827"/>
      <c r="BU50" s="52" t="s">
        <v>54</v>
      </c>
      <c r="BV50" s="34"/>
      <c r="BW50" s="830"/>
      <c r="BX50" s="829"/>
      <c r="BY50" s="809"/>
      <c r="BZ50" s="7"/>
      <c r="CA50" s="7"/>
      <c r="CB50" s="49"/>
      <c r="CC50" s="827"/>
      <c r="CD50" s="827"/>
      <c r="CE50" s="827"/>
      <c r="CF50" s="827"/>
      <c r="CG50" s="830"/>
    </row>
    <row r="51" spans="1:85">
      <c r="A51" s="576" t="s">
        <v>139</v>
      </c>
      <c r="B51" s="842"/>
      <c r="C51" s="856"/>
      <c r="D51" s="857"/>
      <c r="E51" s="857"/>
      <c r="F51" s="66"/>
      <c r="G51" s="809"/>
      <c r="H51" s="809"/>
      <c r="I51" s="809"/>
      <c r="J51" s="809"/>
      <c r="K51" s="69"/>
      <c r="L51" s="827"/>
      <c r="M51" s="827"/>
      <c r="N51" s="827"/>
      <c r="O51" s="827"/>
      <c r="P51" s="66"/>
      <c r="Q51" s="7"/>
      <c r="R51" s="809"/>
      <c r="S51" s="809"/>
      <c r="T51" s="809"/>
      <c r="U51" s="828"/>
      <c r="V51" s="827"/>
      <c r="W51" s="34"/>
      <c r="X51" s="34"/>
      <c r="Y51" s="34"/>
      <c r="Z51" s="66"/>
      <c r="AA51" s="7"/>
      <c r="AB51" s="7"/>
      <c r="AC51" s="7"/>
      <c r="AD51" s="7"/>
      <c r="AE51" s="828"/>
      <c r="AF51" s="827"/>
      <c r="AG51" s="34"/>
      <c r="AH51" s="34"/>
      <c r="AI51" s="11" t="s">
        <v>53</v>
      </c>
      <c r="AJ51" s="829"/>
      <c r="AK51" s="809"/>
      <c r="AL51" s="7"/>
      <c r="AM51" s="7"/>
      <c r="AN51" s="809"/>
      <c r="AO51" s="828"/>
      <c r="AP51" s="827"/>
      <c r="AQ51" s="34"/>
      <c r="AR51" s="34"/>
      <c r="AS51" s="830"/>
      <c r="AU51" s="809"/>
      <c r="AV51" s="7"/>
      <c r="AW51" s="7"/>
      <c r="AY51" s="43"/>
      <c r="AZ51" s="827"/>
      <c r="BA51" s="34"/>
      <c r="BB51" s="34"/>
      <c r="BC51" s="44"/>
      <c r="BE51" s="809"/>
      <c r="BF51" s="7"/>
      <c r="BG51" s="7"/>
      <c r="BH51" s="831"/>
      <c r="BI51" s="827"/>
      <c r="BJ51" s="827"/>
      <c r="BK51" s="34"/>
      <c r="BL51" s="34"/>
      <c r="BM51" s="830"/>
      <c r="BN51" s="809"/>
      <c r="BO51" s="809"/>
      <c r="BP51" s="7"/>
      <c r="BQ51" s="7"/>
      <c r="BR51" s="831"/>
      <c r="BS51" s="827"/>
      <c r="BT51" s="827"/>
      <c r="BU51" s="52"/>
      <c r="BV51" s="34"/>
      <c r="BW51" s="830"/>
      <c r="BX51" s="829"/>
      <c r="BY51" s="809"/>
      <c r="BZ51" s="7"/>
      <c r="CA51" s="7"/>
      <c r="CB51" s="49"/>
      <c r="CC51" s="827"/>
      <c r="CD51" s="827"/>
      <c r="CE51" s="827"/>
      <c r="CF51" s="827"/>
      <c r="CG51" s="830"/>
    </row>
    <row r="52" spans="1:85" ht="31.5">
      <c r="A52" s="31" t="s">
        <v>140</v>
      </c>
      <c r="B52" s="35"/>
      <c r="C52" s="109"/>
      <c r="D52" s="114"/>
      <c r="E52" s="114"/>
      <c r="F52" s="829"/>
      <c r="G52" s="7"/>
      <c r="H52" s="47"/>
      <c r="I52" s="809"/>
      <c r="J52" s="809"/>
      <c r="K52" s="828"/>
      <c r="L52" s="827"/>
      <c r="M52" s="827"/>
      <c r="N52" s="827"/>
      <c r="O52" s="827"/>
      <c r="P52" s="829"/>
      <c r="Q52" s="809"/>
      <c r="R52" s="809"/>
      <c r="S52" s="809"/>
      <c r="T52" s="809"/>
      <c r="U52" s="828"/>
      <c r="V52" s="827"/>
      <c r="W52" s="827"/>
      <c r="X52" s="827"/>
      <c r="Y52" s="34"/>
      <c r="Z52" s="66"/>
      <c r="AA52" s="7"/>
      <c r="AB52" s="7"/>
      <c r="AC52" s="7"/>
      <c r="AD52" s="7"/>
      <c r="AE52" s="828"/>
      <c r="AF52" s="827"/>
      <c r="AG52" s="827"/>
      <c r="AH52" s="827"/>
      <c r="AI52" s="11" t="s">
        <v>53</v>
      </c>
      <c r="AJ52" s="829"/>
      <c r="AK52" s="809"/>
      <c r="AL52" s="809"/>
      <c r="AM52" s="809"/>
      <c r="AN52" s="809"/>
      <c r="AO52" s="828"/>
      <c r="AP52" s="827"/>
      <c r="AQ52" s="827"/>
      <c r="AR52" s="827"/>
      <c r="AS52" s="830"/>
      <c r="AU52" s="809"/>
      <c r="AV52" s="809"/>
      <c r="AW52" s="809"/>
      <c r="AY52" s="43"/>
      <c r="AZ52" s="827"/>
      <c r="BA52" s="827"/>
      <c r="BB52" s="827"/>
      <c r="BC52" s="44"/>
      <c r="BE52" s="809"/>
      <c r="BF52" s="809"/>
      <c r="BG52" s="809"/>
      <c r="BH52" s="831"/>
      <c r="BI52" s="827"/>
      <c r="BJ52" s="827"/>
      <c r="BK52" s="827"/>
      <c r="BL52" s="827"/>
      <c r="BM52" s="830"/>
      <c r="BN52" s="809"/>
      <c r="BO52" s="809"/>
      <c r="BP52" s="809"/>
      <c r="BQ52" s="809"/>
      <c r="BR52" s="831"/>
      <c r="BS52" s="827"/>
      <c r="BT52" s="827"/>
      <c r="BU52" s="52" t="s">
        <v>54</v>
      </c>
      <c r="BV52" s="827"/>
      <c r="BW52" s="830"/>
      <c r="BX52" s="829"/>
      <c r="BY52" s="809"/>
      <c r="BZ52" s="809"/>
      <c r="CA52" s="809"/>
      <c r="CB52" s="831"/>
      <c r="CC52" s="827"/>
      <c r="CD52" s="827"/>
      <c r="CE52" s="827"/>
      <c r="CF52" s="827"/>
      <c r="CG52" s="830"/>
    </row>
    <row r="53" spans="1:85" ht="45.75">
      <c r="A53" s="145" t="s">
        <v>141</v>
      </c>
      <c r="B53" s="115" t="s">
        <v>142</v>
      </c>
      <c r="C53" s="165" t="s">
        <v>143</v>
      </c>
      <c r="D53" s="146" t="s">
        <v>19</v>
      </c>
      <c r="E53" s="116" t="s">
        <v>71</v>
      </c>
      <c r="F53" s="829"/>
      <c r="G53" s="7"/>
      <c r="H53" s="47"/>
      <c r="I53" s="809"/>
      <c r="J53" s="809"/>
      <c r="K53" s="828"/>
      <c r="L53" s="827"/>
      <c r="M53" s="827"/>
      <c r="N53" s="827"/>
      <c r="O53" s="827"/>
      <c r="P53" s="829"/>
      <c r="Q53" s="809"/>
      <c r="R53" s="809"/>
      <c r="S53" s="809"/>
      <c r="T53" s="809"/>
      <c r="U53" s="828"/>
      <c r="V53" s="827"/>
      <c r="W53" s="827"/>
      <c r="X53" s="827"/>
      <c r="Y53" s="34"/>
      <c r="Z53" s="66"/>
      <c r="AA53" s="7"/>
      <c r="AB53" s="7"/>
      <c r="AC53" s="7"/>
      <c r="AD53" s="7"/>
      <c r="AE53" s="828"/>
      <c r="AF53" s="827"/>
      <c r="AG53" s="827"/>
      <c r="AH53" s="827"/>
      <c r="AI53" s="11" t="s">
        <v>53</v>
      </c>
      <c r="AJ53" s="829"/>
      <c r="AK53" s="809"/>
      <c r="AL53" s="809"/>
      <c r="AM53" s="809"/>
      <c r="AN53" s="809"/>
      <c r="AO53" s="828"/>
      <c r="AP53" s="827"/>
      <c r="AQ53" s="827"/>
      <c r="AR53" s="827"/>
      <c r="AS53" s="830"/>
      <c r="AU53" s="809"/>
      <c r="AV53" s="809"/>
      <c r="AW53" s="809"/>
      <c r="AY53" s="43"/>
      <c r="AZ53" s="827"/>
      <c r="BA53" s="827"/>
      <c r="BB53" s="827"/>
      <c r="BC53" s="44"/>
      <c r="BE53" s="809"/>
      <c r="BF53" s="809"/>
      <c r="BG53" s="809"/>
      <c r="BH53" s="831"/>
      <c r="BI53" s="827"/>
      <c r="BJ53" s="827"/>
      <c r="BK53" s="827"/>
      <c r="BL53" s="827"/>
      <c r="BM53" s="830"/>
      <c r="BN53" s="809"/>
      <c r="BO53" s="809"/>
      <c r="BP53" s="809"/>
      <c r="BQ53" s="809"/>
      <c r="BR53" s="831"/>
      <c r="BS53" s="827"/>
      <c r="BT53" s="827"/>
      <c r="BU53" s="52" t="s">
        <v>54</v>
      </c>
      <c r="BV53" s="827"/>
      <c r="BW53" s="830"/>
      <c r="BX53" s="829"/>
      <c r="BY53" s="809"/>
      <c r="BZ53" s="809"/>
      <c r="CA53" s="809"/>
      <c r="CB53" s="831"/>
      <c r="CC53" s="827"/>
      <c r="CD53" s="827"/>
      <c r="CE53" s="827"/>
      <c r="CF53" s="827"/>
      <c r="CG53" s="830"/>
    </row>
    <row r="54" spans="1:85">
      <c r="A54" s="145" t="s">
        <v>144</v>
      </c>
      <c r="B54" s="179" t="s">
        <v>145</v>
      </c>
      <c r="C54" s="560" t="s">
        <v>146</v>
      </c>
      <c r="D54" s="116" t="s">
        <v>147</v>
      </c>
      <c r="E54" s="116" t="s">
        <v>71</v>
      </c>
      <c r="F54" s="829"/>
      <c r="G54" s="7"/>
      <c r="H54" s="47"/>
      <c r="I54" s="809"/>
      <c r="J54" s="809"/>
      <c r="K54" s="828"/>
      <c r="L54" s="827"/>
      <c r="M54" s="827"/>
      <c r="N54" s="827"/>
      <c r="O54" s="827"/>
      <c r="P54" s="829"/>
      <c r="Q54" s="809"/>
      <c r="R54" s="809"/>
      <c r="S54" s="809"/>
      <c r="T54" s="809"/>
      <c r="U54" s="828"/>
      <c r="V54" s="827"/>
      <c r="W54" s="827"/>
      <c r="X54" s="827"/>
      <c r="Y54" s="34"/>
      <c r="Z54" s="66"/>
      <c r="AA54" s="7"/>
      <c r="AB54" s="7"/>
      <c r="AC54" s="7"/>
      <c r="AD54" s="7"/>
      <c r="AE54" s="828"/>
      <c r="AF54" s="827"/>
      <c r="AG54" s="827"/>
      <c r="AH54" s="827"/>
      <c r="AI54" s="11" t="s">
        <v>53</v>
      </c>
      <c r="AJ54" s="829"/>
      <c r="AK54" s="809"/>
      <c r="AL54" s="809"/>
      <c r="AM54" s="809"/>
      <c r="AN54" s="809"/>
      <c r="AO54" s="828"/>
      <c r="AP54" s="827"/>
      <c r="AQ54" s="827"/>
      <c r="AR54" s="827"/>
      <c r="AS54" s="830"/>
      <c r="AU54" s="809"/>
      <c r="AV54" s="809"/>
      <c r="AW54" s="809"/>
      <c r="AY54" s="43"/>
      <c r="AZ54" s="827"/>
      <c r="BA54" s="827"/>
      <c r="BB54" s="827"/>
      <c r="BC54" s="44"/>
      <c r="BE54" s="809"/>
      <c r="BF54" s="809"/>
      <c r="BG54" s="809"/>
      <c r="BH54" s="831"/>
      <c r="BI54" s="827"/>
      <c r="BJ54" s="827"/>
      <c r="BK54" s="827"/>
      <c r="BL54" s="827"/>
      <c r="BM54" s="830"/>
      <c r="BN54" s="809"/>
      <c r="BO54" s="809"/>
      <c r="BP54" s="809"/>
      <c r="BQ54" s="809"/>
      <c r="BR54" s="831"/>
      <c r="BS54" s="827"/>
      <c r="BT54" s="827"/>
      <c r="BU54" s="52" t="s">
        <v>54</v>
      </c>
      <c r="BV54" s="827"/>
      <c r="BW54" s="830"/>
      <c r="BX54" s="829"/>
      <c r="BY54" s="809"/>
      <c r="BZ54" s="809"/>
      <c r="CA54" s="809"/>
      <c r="CB54" s="831"/>
      <c r="CC54" s="827"/>
      <c r="CD54" s="827"/>
      <c r="CE54" s="827"/>
      <c r="CF54" s="827"/>
      <c r="CG54" s="830"/>
    </row>
    <row r="55" spans="1:85" ht="48.75">
      <c r="A55" s="145" t="s">
        <v>148</v>
      </c>
      <c r="B55" s="478" t="s">
        <v>149</v>
      </c>
      <c r="C55" s="133" t="s">
        <v>150</v>
      </c>
      <c r="D55" s="583" t="s">
        <v>151</v>
      </c>
      <c r="E55" s="451" t="s">
        <v>152</v>
      </c>
      <c r="F55" s="829"/>
      <c r="G55" s="7"/>
      <c r="H55" s="47"/>
      <c r="I55" s="809"/>
      <c r="J55" s="809"/>
      <c r="K55" s="828"/>
      <c r="L55" s="827"/>
      <c r="M55" s="827"/>
      <c r="N55" s="827"/>
      <c r="O55" s="827"/>
      <c r="P55" s="829"/>
      <c r="Q55" s="809"/>
      <c r="R55" s="809"/>
      <c r="S55" s="809"/>
      <c r="T55" s="809"/>
      <c r="U55" s="828"/>
      <c r="V55" s="827"/>
      <c r="W55" s="827"/>
      <c r="X55" s="827"/>
      <c r="Y55" s="34"/>
      <c r="Z55" s="66"/>
      <c r="AA55" s="7"/>
      <c r="AB55" s="7"/>
      <c r="AC55" s="7"/>
      <c r="AD55" s="7"/>
      <c r="AE55" s="828"/>
      <c r="AF55" s="827"/>
      <c r="AG55" s="827"/>
      <c r="AH55" s="827"/>
      <c r="AI55" s="11"/>
      <c r="AJ55" s="829"/>
      <c r="AK55" s="809"/>
      <c r="AL55" s="809"/>
      <c r="AM55" s="809"/>
      <c r="AN55" s="809"/>
      <c r="AO55" s="828"/>
      <c r="AP55" s="827"/>
      <c r="AQ55" s="827"/>
      <c r="AR55" s="827"/>
      <c r="AS55" s="830"/>
      <c r="AU55" s="809"/>
      <c r="AV55" s="809"/>
      <c r="AW55" s="809"/>
      <c r="AY55" s="43"/>
      <c r="AZ55" s="827"/>
      <c r="BA55" s="827"/>
      <c r="BB55" s="827"/>
      <c r="BC55" s="44"/>
      <c r="BE55" s="809"/>
      <c r="BF55" s="809"/>
      <c r="BG55" s="809"/>
      <c r="BH55" s="831"/>
      <c r="BI55" s="827"/>
      <c r="BJ55" s="827"/>
      <c r="BK55" s="827"/>
      <c r="BL55" s="827"/>
      <c r="BM55" s="830"/>
      <c r="BN55" s="809"/>
      <c r="BO55" s="809"/>
      <c r="BP55" s="809"/>
      <c r="BQ55" s="809"/>
      <c r="BR55" s="831"/>
      <c r="BS55" s="827"/>
      <c r="BT55" s="827"/>
      <c r="BU55" s="52"/>
      <c r="BV55" s="827"/>
      <c r="BW55" s="830"/>
      <c r="BX55" s="829"/>
      <c r="BY55" s="809"/>
      <c r="BZ55" s="809"/>
      <c r="CA55" s="809"/>
      <c r="CB55" s="831"/>
      <c r="CC55" s="827"/>
      <c r="CD55" s="827"/>
      <c r="CE55" s="827"/>
      <c r="CF55" s="827"/>
      <c r="CG55" s="830"/>
    </row>
    <row r="56" spans="1:85" ht="76.5">
      <c r="A56" s="450" t="s">
        <v>153</v>
      </c>
      <c r="B56" s="505" t="s">
        <v>154</v>
      </c>
      <c r="C56" s="639" t="s">
        <v>155</v>
      </c>
      <c r="D56" s="146" t="s">
        <v>156</v>
      </c>
      <c r="E56" s="473" t="s">
        <v>71</v>
      </c>
      <c r="G56" s="16"/>
      <c r="H56" s="48"/>
      <c r="K56" s="43"/>
      <c r="L56" s="15"/>
      <c r="M56" s="15"/>
      <c r="N56" s="15"/>
      <c r="O56" s="15"/>
      <c r="P56" s="22"/>
      <c r="U56" s="43"/>
      <c r="V56" s="15"/>
      <c r="W56" s="15"/>
      <c r="X56" s="15"/>
      <c r="Y56" s="34"/>
      <c r="Z56" s="65"/>
      <c r="AA56" s="16"/>
      <c r="AB56" s="16"/>
      <c r="AC56" s="16"/>
      <c r="AD56" s="16"/>
      <c r="AE56" s="43"/>
      <c r="AF56" s="15"/>
      <c r="AG56" s="15"/>
      <c r="AH56" s="15"/>
      <c r="AI56" s="11"/>
      <c r="AJ56" s="22"/>
      <c r="AO56" s="43"/>
      <c r="AP56" s="15"/>
      <c r="AQ56" s="15"/>
      <c r="AR56" s="15"/>
      <c r="AS56" s="44"/>
      <c r="AY56" s="43"/>
      <c r="AZ56" s="15"/>
      <c r="BA56" s="15"/>
      <c r="BB56" s="15"/>
      <c r="BC56" s="44"/>
      <c r="BH56" s="20"/>
      <c r="BI56" s="15"/>
      <c r="BJ56" s="15"/>
      <c r="BK56" s="15"/>
      <c r="BL56" s="15"/>
      <c r="BM56" s="44"/>
      <c r="BR56" s="20"/>
      <c r="BS56" s="15"/>
      <c r="BT56" s="15"/>
      <c r="BU56" s="52"/>
      <c r="BV56" s="15"/>
      <c r="BW56" s="44"/>
      <c r="BX56" s="22"/>
      <c r="CB56" s="20"/>
      <c r="CC56" s="15"/>
      <c r="CD56" s="15"/>
      <c r="CE56" s="15"/>
      <c r="CF56" s="15"/>
      <c r="CG56" s="44"/>
    </row>
    <row r="57" spans="1:85" ht="91.5">
      <c r="A57" s="450" t="s">
        <v>157</v>
      </c>
      <c r="B57" s="743" t="s">
        <v>158</v>
      </c>
      <c r="C57" s="744" t="s">
        <v>159</v>
      </c>
      <c r="D57" s="745" t="s">
        <v>160</v>
      </c>
      <c r="E57" s="516" t="s">
        <v>71</v>
      </c>
      <c r="F57" s="22"/>
      <c r="G57" s="16"/>
      <c r="H57" s="48"/>
      <c r="K57" s="43"/>
      <c r="L57" s="15"/>
      <c r="M57" s="15"/>
      <c r="N57" s="15"/>
      <c r="O57" s="15"/>
      <c r="P57" s="22"/>
      <c r="U57" s="43"/>
      <c r="V57" s="15"/>
      <c r="W57" s="15"/>
      <c r="X57" s="15"/>
      <c r="Y57" s="34"/>
      <c r="Z57" s="65"/>
      <c r="AA57" s="16"/>
      <c r="AB57" s="16"/>
      <c r="AC57" s="16"/>
      <c r="AD57" s="16"/>
      <c r="AE57" s="43"/>
      <c r="AF57" s="15"/>
      <c r="AG57" s="15"/>
      <c r="AH57" s="15"/>
      <c r="AI57" s="11"/>
      <c r="AJ57" s="22"/>
      <c r="AO57" s="43"/>
      <c r="AP57" s="15"/>
      <c r="AQ57" s="15"/>
      <c r="AR57" s="15"/>
      <c r="AS57" s="44"/>
      <c r="AY57" s="43"/>
      <c r="AZ57" s="15"/>
      <c r="BA57" s="15"/>
      <c r="BB57" s="15"/>
      <c r="BC57" s="44"/>
      <c r="BH57" s="20"/>
      <c r="BI57" s="15"/>
      <c r="BJ57" s="15"/>
      <c r="BK57" s="15"/>
      <c r="BL57" s="15"/>
      <c r="BM57" s="44"/>
      <c r="BR57" s="20"/>
      <c r="BS57" s="15"/>
      <c r="BT57" s="15"/>
      <c r="BU57" s="52"/>
      <c r="BV57" s="15"/>
      <c r="BW57" s="44"/>
      <c r="BX57" s="22"/>
      <c r="CB57" s="20"/>
      <c r="CC57" s="15"/>
      <c r="CD57" s="15"/>
      <c r="CE57" s="15"/>
      <c r="CF57" s="15"/>
      <c r="CG57" s="44"/>
    </row>
    <row r="58" spans="1:85" ht="30.75">
      <c r="A58" s="145" t="s">
        <v>161</v>
      </c>
      <c r="B58" s="743" t="s">
        <v>162</v>
      </c>
      <c r="C58" s="746" t="s">
        <v>163</v>
      </c>
      <c r="D58" s="485" t="s">
        <v>164</v>
      </c>
      <c r="E58" s="551" t="s">
        <v>165</v>
      </c>
      <c r="G58" s="16"/>
      <c r="H58" s="48"/>
      <c r="K58" s="43"/>
      <c r="L58" s="15"/>
      <c r="M58" s="15"/>
      <c r="N58" s="15"/>
      <c r="O58" s="15"/>
      <c r="P58" s="22"/>
      <c r="U58" s="43"/>
      <c r="V58" s="15"/>
      <c r="W58" s="15"/>
      <c r="X58" s="15"/>
      <c r="Y58" s="34"/>
      <c r="Z58" s="65"/>
      <c r="AA58" s="16"/>
      <c r="AB58" s="16"/>
      <c r="AC58" s="16"/>
      <c r="AD58" s="16"/>
      <c r="AE58" s="43"/>
      <c r="AF58" s="15"/>
      <c r="AG58" s="15"/>
      <c r="AH58" s="15"/>
      <c r="AI58" s="11"/>
      <c r="AJ58" s="22"/>
      <c r="AO58" s="43"/>
      <c r="AP58" s="15"/>
      <c r="AQ58" s="15"/>
      <c r="AR58" s="15"/>
      <c r="AS58" s="44"/>
      <c r="AY58" s="43"/>
      <c r="AZ58" s="15"/>
      <c r="BA58" s="15"/>
      <c r="BB58" s="15"/>
      <c r="BC58" s="44"/>
      <c r="BH58" s="20"/>
      <c r="BI58" s="15"/>
      <c r="BJ58" s="15"/>
      <c r="BK58" s="15"/>
      <c r="BL58" s="15"/>
      <c r="BM58" s="44"/>
      <c r="BR58" s="20"/>
      <c r="BS58" s="15"/>
      <c r="BT58" s="15"/>
      <c r="BU58" s="52"/>
      <c r="BV58" s="15"/>
      <c r="BW58" s="44"/>
      <c r="BX58" s="22"/>
      <c r="CB58" s="20"/>
      <c r="CC58" s="15"/>
      <c r="CD58" s="15"/>
      <c r="CE58" s="15"/>
      <c r="CF58" s="15"/>
      <c r="CG58" s="44"/>
    </row>
    <row r="59" spans="1:85" ht="45.75">
      <c r="A59" s="573" t="s">
        <v>166</v>
      </c>
      <c r="B59" s="606" t="s">
        <v>167</v>
      </c>
      <c r="C59" s="599" t="s">
        <v>168</v>
      </c>
      <c r="D59" s="485" t="s">
        <v>169</v>
      </c>
      <c r="E59" s="858" t="s">
        <v>58</v>
      </c>
      <c r="F59" s="834"/>
      <c r="G59" s="54"/>
      <c r="H59" s="58"/>
      <c r="I59" s="59"/>
      <c r="J59" s="809"/>
      <c r="K59" s="828"/>
      <c r="L59" s="827"/>
      <c r="M59" s="827"/>
      <c r="N59" s="827"/>
      <c r="O59" s="827"/>
      <c r="P59" s="829"/>
      <c r="Q59" s="809"/>
      <c r="R59" s="809"/>
      <c r="S59" s="809"/>
      <c r="T59" s="809"/>
      <c r="U59" s="828"/>
      <c r="V59" s="827"/>
      <c r="W59" s="827"/>
      <c r="X59" s="827"/>
      <c r="Y59" s="34"/>
      <c r="Z59" s="66"/>
      <c r="AA59" s="7"/>
      <c r="AB59" s="7"/>
      <c r="AC59" s="7"/>
      <c r="AD59" s="7"/>
      <c r="AE59" s="828"/>
      <c r="AF59" s="827"/>
      <c r="AG59" s="827"/>
      <c r="AH59" s="827"/>
      <c r="AI59" s="11"/>
      <c r="AJ59" s="829"/>
      <c r="AK59" s="809"/>
      <c r="AL59" s="809"/>
      <c r="AM59" s="809"/>
      <c r="AN59" s="809"/>
      <c r="AO59" s="828"/>
      <c r="AP59" s="827"/>
      <c r="AQ59" s="827"/>
      <c r="AR59" s="827"/>
      <c r="AS59" s="830"/>
      <c r="AU59" s="809"/>
      <c r="AV59" s="809"/>
      <c r="AW59" s="809"/>
      <c r="AY59" s="43"/>
      <c r="AZ59" s="827"/>
      <c r="BA59" s="827"/>
      <c r="BB59" s="827"/>
      <c r="BC59" s="44"/>
      <c r="BE59" s="809"/>
      <c r="BF59" s="809"/>
      <c r="BG59" s="809"/>
      <c r="BH59" s="831"/>
      <c r="BI59" s="827"/>
      <c r="BJ59" s="827"/>
      <c r="BK59" s="827"/>
      <c r="BL59" s="827"/>
      <c r="BM59" s="830"/>
      <c r="BN59" s="809"/>
      <c r="BO59" s="809"/>
      <c r="BP59" s="809"/>
      <c r="BQ59" s="809"/>
      <c r="BR59" s="831"/>
      <c r="BS59" s="827"/>
      <c r="BT59" s="827"/>
      <c r="BU59" s="52"/>
      <c r="BV59" s="827"/>
      <c r="BW59" s="830"/>
      <c r="BX59" s="829"/>
      <c r="BY59" s="809"/>
      <c r="BZ59" s="809"/>
      <c r="CA59" s="809"/>
      <c r="CB59" s="831"/>
      <c r="CC59" s="827"/>
      <c r="CD59" s="827"/>
      <c r="CE59" s="827"/>
      <c r="CF59" s="827"/>
      <c r="CG59" s="830"/>
    </row>
    <row r="60" spans="1:85" s="136" customFormat="1" ht="62.25" customHeight="1">
      <c r="A60" s="605" t="s">
        <v>170</v>
      </c>
      <c r="B60" s="586" t="s">
        <v>171</v>
      </c>
      <c r="C60" s="134" t="s">
        <v>172</v>
      </c>
      <c r="D60" s="607" t="s">
        <v>173</v>
      </c>
      <c r="E60" s="859" t="s">
        <v>58</v>
      </c>
      <c r="F60" s="60"/>
      <c r="G60" s="835"/>
      <c r="H60" s="835"/>
      <c r="I60" s="835"/>
      <c r="J60" s="835"/>
      <c r="K60" s="70"/>
      <c r="L60" s="832"/>
      <c r="M60" s="832"/>
      <c r="N60" s="832"/>
      <c r="O60" s="832"/>
      <c r="P60" s="67"/>
      <c r="Q60" s="60"/>
      <c r="R60" s="835"/>
      <c r="S60" s="835"/>
      <c r="T60" s="835"/>
      <c r="U60" s="833"/>
      <c r="V60" s="832"/>
      <c r="W60" s="62"/>
      <c r="X60" s="62"/>
      <c r="Y60" s="62"/>
      <c r="Z60" s="67"/>
      <c r="AA60" s="60"/>
      <c r="AB60" s="60"/>
      <c r="AC60" s="60"/>
      <c r="AD60" s="60"/>
      <c r="AE60" s="833"/>
      <c r="AF60" s="832"/>
      <c r="AG60" s="62"/>
      <c r="AH60" s="62"/>
      <c r="AI60" s="141"/>
      <c r="AJ60" s="834"/>
      <c r="AK60" s="835"/>
      <c r="AL60" s="60"/>
      <c r="AM60" s="60"/>
      <c r="AN60" s="835"/>
      <c r="AO60" s="833"/>
      <c r="AP60" s="832"/>
      <c r="AQ60" s="62"/>
      <c r="AR60" s="62"/>
      <c r="AS60" s="836"/>
      <c r="AU60" s="835"/>
      <c r="AV60" s="60"/>
      <c r="AW60" s="60"/>
      <c r="AY60" s="140"/>
      <c r="AZ60" s="832"/>
      <c r="BA60" s="62"/>
      <c r="BB60" s="62"/>
      <c r="BC60" s="142"/>
      <c r="BE60" s="835"/>
      <c r="BF60" s="60"/>
      <c r="BG60" s="60"/>
      <c r="BH60" s="837"/>
      <c r="BI60" s="832"/>
      <c r="BJ60" s="832"/>
      <c r="BK60" s="62"/>
      <c r="BL60" s="62"/>
      <c r="BM60" s="836"/>
      <c r="BN60" s="835"/>
      <c r="BO60" s="835"/>
      <c r="BP60" s="60"/>
      <c r="BQ60" s="60"/>
      <c r="BR60" s="837"/>
      <c r="BS60" s="832"/>
      <c r="BT60" s="832"/>
      <c r="BU60" s="589"/>
      <c r="BV60" s="62"/>
      <c r="BW60" s="836"/>
      <c r="BX60" s="834"/>
      <c r="BY60" s="835"/>
      <c r="BZ60" s="60"/>
      <c r="CA60" s="60"/>
      <c r="CB60" s="144"/>
      <c r="CC60" s="832"/>
      <c r="CD60" s="832"/>
      <c r="CE60" s="832"/>
      <c r="CF60" s="832"/>
      <c r="CG60" s="836"/>
    </row>
    <row r="61" spans="1:85" ht="30.75">
      <c r="A61" s="478" t="s">
        <v>174</v>
      </c>
      <c r="B61" s="586" t="s">
        <v>175</v>
      </c>
      <c r="C61" s="485" t="s">
        <v>176</v>
      </c>
      <c r="D61" s="600" t="s">
        <v>177</v>
      </c>
      <c r="E61" s="860" t="s">
        <v>95</v>
      </c>
      <c r="F61" s="835"/>
      <c r="G61" s="54"/>
      <c r="H61" s="58"/>
      <c r="I61" s="59"/>
      <c r="J61" s="809"/>
      <c r="K61" s="827"/>
      <c r="L61" s="827"/>
      <c r="M61" s="827"/>
      <c r="N61" s="827"/>
      <c r="O61" s="827"/>
      <c r="P61" s="809"/>
      <c r="Q61" s="809"/>
      <c r="R61" s="809"/>
      <c r="S61" s="809"/>
      <c r="T61" s="809"/>
      <c r="U61" s="827"/>
      <c r="V61" s="827"/>
      <c r="W61" s="827"/>
      <c r="X61" s="827"/>
      <c r="Y61" s="34"/>
      <c r="Z61" s="7"/>
      <c r="AA61" s="7"/>
      <c r="AB61" s="7"/>
      <c r="AC61" s="7"/>
      <c r="AD61" s="7"/>
      <c r="AE61" s="827"/>
      <c r="AF61" s="827"/>
      <c r="AG61" s="827"/>
      <c r="AH61" s="827"/>
      <c r="AI61" s="594" t="s">
        <v>53</v>
      </c>
      <c r="AJ61" s="809"/>
      <c r="AK61" s="809"/>
      <c r="AL61" s="809"/>
      <c r="AM61" s="809"/>
      <c r="AN61" s="809"/>
      <c r="AO61" s="827"/>
      <c r="AP61" s="827"/>
      <c r="AQ61" s="827"/>
      <c r="AR61" s="827"/>
      <c r="AS61" s="827"/>
      <c r="AU61" s="809"/>
      <c r="AV61" s="809"/>
      <c r="AW61" s="809"/>
      <c r="AY61" s="15"/>
      <c r="AZ61" s="827"/>
      <c r="BA61" s="827"/>
      <c r="BB61" s="827"/>
      <c r="BC61" s="15"/>
      <c r="BE61" s="809"/>
      <c r="BF61" s="809"/>
      <c r="BG61" s="809"/>
      <c r="BH61" s="809"/>
      <c r="BI61" s="827"/>
      <c r="BJ61" s="827"/>
      <c r="BK61" s="827"/>
      <c r="BL61" s="827"/>
      <c r="BM61" s="827"/>
      <c r="BN61" s="809"/>
      <c r="BO61" s="809"/>
      <c r="BP61" s="809"/>
      <c r="BQ61" s="809"/>
      <c r="BR61" s="809"/>
      <c r="BS61" s="827"/>
      <c r="BT61" s="827"/>
      <c r="BU61" s="595" t="s">
        <v>54</v>
      </c>
      <c r="BV61" s="827"/>
      <c r="BW61" s="827"/>
      <c r="BX61" s="809"/>
      <c r="BY61" s="809"/>
      <c r="BZ61" s="809"/>
      <c r="CA61" s="809"/>
      <c r="CB61" s="809"/>
      <c r="CC61" s="827"/>
      <c r="CD61" s="827"/>
      <c r="CE61" s="827"/>
      <c r="CF61" s="827"/>
      <c r="CG61" s="827"/>
    </row>
    <row r="62" spans="1:85" ht="45.75">
      <c r="A62" s="549" t="s">
        <v>178</v>
      </c>
      <c r="B62" s="861" t="s">
        <v>179</v>
      </c>
      <c r="C62" s="134" t="s">
        <v>180</v>
      </c>
      <c r="D62" s="600"/>
      <c r="E62" s="860" t="s">
        <v>181</v>
      </c>
      <c r="F62" s="835"/>
      <c r="G62" s="54"/>
      <c r="H62" s="58"/>
      <c r="I62" s="59"/>
      <c r="J62" s="809"/>
      <c r="K62" s="827"/>
      <c r="L62" s="827"/>
      <c r="M62" s="827"/>
      <c r="N62" s="827"/>
      <c r="O62" s="827"/>
      <c r="P62" s="809"/>
      <c r="Q62" s="809"/>
      <c r="R62" s="809"/>
      <c r="S62" s="809"/>
      <c r="T62" s="809"/>
      <c r="U62" s="827"/>
      <c r="V62" s="827"/>
      <c r="W62" s="827"/>
      <c r="X62" s="827"/>
      <c r="Y62" s="34"/>
      <c r="Z62" s="7"/>
      <c r="AA62" s="7"/>
      <c r="AB62" s="7"/>
      <c r="AC62" s="7"/>
      <c r="AD62" s="7"/>
      <c r="AE62" s="827"/>
      <c r="AF62" s="827"/>
      <c r="AG62" s="827"/>
      <c r="AH62" s="827"/>
      <c r="AI62" s="594"/>
      <c r="AJ62" s="809"/>
      <c r="AK62" s="809"/>
      <c r="AL62" s="809"/>
      <c r="AM62" s="809"/>
      <c r="AN62" s="809"/>
      <c r="AO62" s="827"/>
      <c r="AP62" s="827"/>
      <c r="AQ62" s="827"/>
      <c r="AR62" s="827"/>
      <c r="AS62" s="827"/>
      <c r="AU62" s="809"/>
      <c r="AV62" s="809"/>
      <c r="AW62" s="809"/>
      <c r="AY62" s="15"/>
      <c r="AZ62" s="827"/>
      <c r="BA62" s="827"/>
      <c r="BB62" s="827"/>
      <c r="BC62" s="15"/>
      <c r="BE62" s="809"/>
      <c r="BF62" s="809"/>
      <c r="BG62" s="809"/>
      <c r="BH62" s="809"/>
      <c r="BI62" s="827"/>
      <c r="BJ62" s="827"/>
      <c r="BK62" s="827"/>
      <c r="BL62" s="827"/>
      <c r="BM62" s="827"/>
      <c r="BN62" s="809"/>
      <c r="BO62" s="809"/>
      <c r="BP62" s="809"/>
      <c r="BQ62" s="809"/>
      <c r="BR62" s="809"/>
      <c r="BS62" s="827"/>
      <c r="BT62" s="827"/>
      <c r="BU62" s="595"/>
      <c r="BV62" s="827"/>
      <c r="BW62" s="827"/>
      <c r="BX62" s="809"/>
      <c r="BY62" s="809"/>
      <c r="BZ62" s="809"/>
      <c r="CA62" s="809"/>
      <c r="CB62" s="809"/>
      <c r="CC62" s="827"/>
      <c r="CD62" s="827"/>
      <c r="CE62" s="827"/>
      <c r="CF62" s="827"/>
      <c r="CG62" s="827"/>
    </row>
    <row r="63" spans="1:85" ht="30.75">
      <c r="A63" s="862" t="s">
        <v>182</v>
      </c>
      <c r="B63" s="863" t="s">
        <v>183</v>
      </c>
      <c r="C63" s="517" t="s">
        <v>184</v>
      </c>
      <c r="D63" s="485" t="s">
        <v>185</v>
      </c>
      <c r="E63" s="845" t="s">
        <v>186</v>
      </c>
      <c r="F63" s="7"/>
      <c r="G63" s="809"/>
      <c r="H63" s="809"/>
      <c r="I63" s="809"/>
      <c r="J63" s="809"/>
      <c r="K63" s="69"/>
      <c r="L63" s="827"/>
      <c r="M63" s="827"/>
      <c r="N63" s="827"/>
      <c r="O63" s="827"/>
      <c r="P63" s="66"/>
      <c r="Q63" s="7"/>
      <c r="R63" s="809"/>
      <c r="S63" s="809"/>
      <c r="T63" s="809"/>
      <c r="U63" s="828"/>
      <c r="V63" s="827"/>
      <c r="W63" s="34"/>
      <c r="X63" s="34"/>
      <c r="Y63" s="34"/>
      <c r="Z63" s="65"/>
      <c r="AA63" s="7"/>
      <c r="AB63" s="7"/>
      <c r="AC63" s="7"/>
      <c r="AD63" s="7"/>
      <c r="AE63" s="828"/>
      <c r="AF63" s="827"/>
      <c r="AG63" s="34"/>
      <c r="AH63" s="34"/>
      <c r="AI63" s="590"/>
      <c r="AJ63" s="829"/>
      <c r="AK63" s="809"/>
      <c r="AL63" s="7"/>
      <c r="AM63" s="7"/>
      <c r="AN63" s="809"/>
      <c r="AO63" s="828"/>
      <c r="AP63" s="827"/>
      <c r="AQ63" s="34"/>
      <c r="AR63" s="34"/>
      <c r="AS63" s="830"/>
      <c r="AU63" s="809"/>
      <c r="AV63" s="7"/>
      <c r="AW63" s="7"/>
      <c r="AY63" s="43"/>
      <c r="AZ63" s="827"/>
      <c r="BA63" s="34"/>
      <c r="BB63" s="34"/>
      <c r="BC63" s="44"/>
      <c r="BE63" s="809"/>
      <c r="BF63" s="7"/>
      <c r="BG63" s="7"/>
      <c r="BH63" s="831"/>
      <c r="BI63" s="827"/>
      <c r="BJ63" s="827"/>
      <c r="BK63" s="34"/>
      <c r="BL63" s="34"/>
      <c r="BM63" s="830"/>
      <c r="BN63" s="809"/>
      <c r="BO63" s="809"/>
      <c r="BP63" s="7"/>
      <c r="BQ63" s="7"/>
      <c r="BR63" s="831"/>
      <c r="BS63" s="827"/>
      <c r="BT63" s="827"/>
      <c r="BU63" s="591"/>
      <c r="BV63" s="34"/>
      <c r="BW63" s="830"/>
      <c r="BX63" s="829"/>
      <c r="BY63" s="809"/>
      <c r="BZ63" s="7"/>
      <c r="CA63" s="7"/>
      <c r="CB63" s="49"/>
      <c r="CC63" s="827"/>
      <c r="CD63" s="827"/>
      <c r="CE63" s="827"/>
      <c r="CF63" s="827"/>
      <c r="CG63" s="830"/>
    </row>
    <row r="64" spans="1:85">
      <c r="A64" s="862" t="s">
        <v>187</v>
      </c>
      <c r="B64" s="864" t="s">
        <v>188</v>
      </c>
      <c r="C64" s="517" t="s">
        <v>189</v>
      </c>
      <c r="D64" s="602"/>
      <c r="E64" s="845" t="s">
        <v>190</v>
      </c>
      <c r="F64" s="7"/>
      <c r="G64" s="809"/>
      <c r="H64" s="809"/>
      <c r="I64" s="809"/>
      <c r="J64" s="809"/>
      <c r="K64" s="34"/>
      <c r="L64" s="827"/>
      <c r="M64" s="827"/>
      <c r="N64" s="827"/>
      <c r="O64" s="827"/>
      <c r="P64" s="7"/>
      <c r="Q64" s="7"/>
      <c r="R64" s="809"/>
      <c r="S64" s="809"/>
      <c r="T64" s="809"/>
      <c r="U64" s="827"/>
      <c r="V64" s="827"/>
      <c r="W64" s="34"/>
      <c r="X64" s="34"/>
      <c r="Y64" s="34"/>
      <c r="Z64" s="16"/>
      <c r="AA64" s="7"/>
      <c r="AB64" s="7"/>
      <c r="AC64" s="7"/>
      <c r="AD64" s="7"/>
      <c r="AE64" s="827"/>
      <c r="AF64" s="827"/>
      <c r="AG64" s="34"/>
      <c r="AH64" s="34"/>
      <c r="AI64" s="594"/>
      <c r="AJ64" s="809"/>
      <c r="AK64" s="809"/>
      <c r="AL64" s="7"/>
      <c r="AM64" s="7"/>
      <c r="AN64" s="809"/>
      <c r="AO64" s="827"/>
      <c r="AP64" s="827"/>
      <c r="AQ64" s="34"/>
      <c r="AR64" s="34"/>
      <c r="AS64" s="827"/>
      <c r="AU64" s="809"/>
      <c r="AV64" s="7"/>
      <c r="AW64" s="7"/>
      <c r="AY64" s="15"/>
      <c r="AZ64" s="827"/>
      <c r="BA64" s="34"/>
      <c r="BB64" s="34"/>
      <c r="BC64" s="15"/>
      <c r="BE64" s="809"/>
      <c r="BF64" s="7"/>
      <c r="BG64" s="7"/>
      <c r="BH64" s="809"/>
      <c r="BI64" s="827"/>
      <c r="BJ64" s="827"/>
      <c r="BK64" s="34"/>
      <c r="BL64" s="34"/>
      <c r="BM64" s="827"/>
      <c r="BN64" s="809"/>
      <c r="BO64" s="809"/>
      <c r="BP64" s="7"/>
      <c r="BQ64" s="7"/>
      <c r="BR64" s="809"/>
      <c r="BS64" s="827"/>
      <c r="BT64" s="827"/>
      <c r="BU64" s="595"/>
      <c r="BV64" s="34"/>
      <c r="BW64" s="827"/>
      <c r="BX64" s="809"/>
      <c r="BY64" s="809"/>
      <c r="BZ64" s="7"/>
      <c r="CA64" s="7"/>
      <c r="CB64" s="7"/>
      <c r="CC64" s="827"/>
      <c r="CD64" s="827"/>
      <c r="CE64" s="827"/>
      <c r="CF64" s="827"/>
      <c r="CG64" s="827"/>
    </row>
    <row r="65" spans="1:85" ht="15.75">
      <c r="A65" s="549" t="s">
        <v>191</v>
      </c>
      <c r="B65" s="145" t="s">
        <v>192</v>
      </c>
      <c r="C65" s="517" t="s">
        <v>193</v>
      </c>
      <c r="D65" s="617" t="s">
        <v>194</v>
      </c>
      <c r="E65" s="860" t="s">
        <v>195</v>
      </c>
      <c r="F65" s="835"/>
      <c r="G65" s="54"/>
      <c r="H65" s="58"/>
      <c r="I65" s="59"/>
      <c r="J65" s="809"/>
      <c r="K65" s="827"/>
      <c r="L65" s="827"/>
      <c r="M65" s="827"/>
      <c r="N65" s="827"/>
      <c r="O65" s="827"/>
      <c r="P65" s="809"/>
      <c r="Q65" s="809"/>
      <c r="R65" s="809"/>
      <c r="S65" s="809"/>
      <c r="T65" s="809"/>
      <c r="U65" s="827"/>
      <c r="V65" s="827"/>
      <c r="W65" s="827"/>
      <c r="X65" s="827"/>
      <c r="Y65" s="34"/>
      <c r="Z65" s="7"/>
      <c r="AA65" s="7"/>
      <c r="AB65" s="7"/>
      <c r="AC65" s="7"/>
      <c r="AD65" s="7"/>
      <c r="AE65" s="827"/>
      <c r="AF65" s="827"/>
      <c r="AG65" s="827"/>
      <c r="AH65" s="827"/>
      <c r="AI65" s="594"/>
      <c r="AJ65" s="809"/>
      <c r="AK65" s="809"/>
      <c r="AL65" s="809"/>
      <c r="AM65" s="809"/>
      <c r="AN65" s="809"/>
      <c r="AO65" s="827"/>
      <c r="AP65" s="827"/>
      <c r="AQ65" s="827"/>
      <c r="AR65" s="827"/>
      <c r="AS65" s="827"/>
      <c r="AU65" s="809"/>
      <c r="AV65" s="809"/>
      <c r="AW65" s="809"/>
      <c r="AY65" s="15"/>
      <c r="AZ65" s="827"/>
      <c r="BA65" s="827"/>
      <c r="BB65" s="827"/>
      <c r="BC65" s="15"/>
      <c r="BE65" s="809"/>
      <c r="BF65" s="809"/>
      <c r="BG65" s="809"/>
      <c r="BH65" s="809"/>
      <c r="BI65" s="827"/>
      <c r="BJ65" s="827"/>
      <c r="BK65" s="827"/>
      <c r="BL65" s="827"/>
      <c r="BM65" s="827"/>
      <c r="BN65" s="809"/>
      <c r="BO65" s="809"/>
      <c r="BP65" s="809"/>
      <c r="BQ65" s="809"/>
      <c r="BR65" s="809"/>
      <c r="BS65" s="827"/>
      <c r="BT65" s="827"/>
      <c r="BU65" s="595"/>
      <c r="BV65" s="827"/>
      <c r="BW65" s="827"/>
      <c r="BX65" s="809"/>
      <c r="BY65" s="809"/>
      <c r="BZ65" s="809"/>
      <c r="CA65" s="809"/>
      <c r="CB65" s="809"/>
      <c r="CC65" s="827"/>
      <c r="CD65" s="827"/>
      <c r="CE65" s="827"/>
      <c r="CF65" s="827"/>
      <c r="CG65" s="827"/>
    </row>
    <row r="66" spans="1:85" ht="76.5">
      <c r="A66" s="865" t="s">
        <v>196</v>
      </c>
      <c r="B66" s="747" t="s">
        <v>197</v>
      </c>
      <c r="C66" s="682" t="s">
        <v>198</v>
      </c>
      <c r="D66" s="603" t="s">
        <v>199</v>
      </c>
      <c r="E66" s="866" t="s">
        <v>200</v>
      </c>
      <c r="F66" s="7"/>
      <c r="G66" s="809"/>
      <c r="H66" s="809"/>
      <c r="I66" s="809"/>
      <c r="J66" s="809"/>
      <c r="K66" s="69"/>
      <c r="L66" s="827"/>
      <c r="M66" s="827"/>
      <c r="N66" s="827"/>
      <c r="O66" s="827"/>
      <c r="P66" s="66"/>
      <c r="Q66" s="7"/>
      <c r="R66" s="809"/>
      <c r="S66" s="809"/>
      <c r="T66" s="809"/>
      <c r="U66" s="828"/>
      <c r="V66" s="827"/>
      <c r="W66" s="34"/>
      <c r="X66" s="34"/>
      <c r="Y66" s="34"/>
      <c r="Z66" s="65"/>
      <c r="AA66" s="7"/>
      <c r="AB66" s="7"/>
      <c r="AC66" s="7"/>
      <c r="AD66" s="7"/>
      <c r="AE66" s="828"/>
      <c r="AF66" s="827"/>
      <c r="AG66" s="34"/>
      <c r="AH66" s="34"/>
      <c r="AI66" s="11"/>
      <c r="AJ66" s="829"/>
      <c r="AK66" s="809"/>
      <c r="AL66" s="7"/>
      <c r="AM66" s="7"/>
      <c r="AN66" s="809"/>
      <c r="AO66" s="828"/>
      <c r="AP66" s="827"/>
      <c r="AQ66" s="34"/>
      <c r="AR66" s="34"/>
      <c r="AS66" s="830"/>
      <c r="AU66" s="809"/>
      <c r="AV66" s="7"/>
      <c r="AW66" s="7"/>
      <c r="AY66" s="43"/>
      <c r="AZ66" s="827"/>
      <c r="BA66" s="34"/>
      <c r="BB66" s="34"/>
      <c r="BC66" s="44"/>
      <c r="BE66" s="809"/>
      <c r="BF66" s="7"/>
      <c r="BG66" s="7"/>
      <c r="BH66" s="831"/>
      <c r="BI66" s="827"/>
      <c r="BJ66" s="827"/>
      <c r="BK66" s="34"/>
      <c r="BL66" s="34"/>
      <c r="BM66" s="830"/>
      <c r="BN66" s="809"/>
      <c r="BO66" s="809"/>
      <c r="BP66" s="7"/>
      <c r="BQ66" s="7"/>
      <c r="BR66" s="831"/>
      <c r="BS66" s="827"/>
      <c r="BT66" s="827"/>
      <c r="BU66" s="52"/>
      <c r="BV66" s="34"/>
      <c r="BW66" s="830"/>
      <c r="BX66" s="829"/>
      <c r="BY66" s="809"/>
      <c r="BZ66" s="7"/>
      <c r="CA66" s="7"/>
      <c r="CB66" s="49"/>
      <c r="CC66" s="827"/>
      <c r="CD66" s="827"/>
      <c r="CE66" s="827"/>
      <c r="CF66" s="827"/>
      <c r="CG66" s="830"/>
    </row>
    <row r="67" spans="1:85">
      <c r="A67" s="679" t="s">
        <v>201</v>
      </c>
      <c r="B67" s="680" t="s">
        <v>25</v>
      </c>
      <c r="C67" s="681" t="s">
        <v>202</v>
      </c>
      <c r="D67" s="609" t="s">
        <v>203</v>
      </c>
      <c r="E67" s="616" t="s">
        <v>25</v>
      </c>
      <c r="G67" s="16"/>
      <c r="H67" s="48"/>
      <c r="K67" s="22"/>
      <c r="P67" s="22"/>
      <c r="U67" s="22"/>
      <c r="Y67" s="7"/>
      <c r="Z67" s="65"/>
      <c r="AA67" s="16"/>
      <c r="AB67" s="16"/>
      <c r="AC67" s="16"/>
      <c r="AD67" s="16"/>
      <c r="AE67" s="22"/>
      <c r="AI67" s="410"/>
      <c r="AJ67" s="22"/>
      <c r="AO67" s="22"/>
      <c r="AS67" s="20"/>
      <c r="AY67" s="22"/>
      <c r="BC67" s="20"/>
      <c r="BH67" s="20"/>
      <c r="BM67" s="20"/>
      <c r="BR67" s="20"/>
      <c r="BU67" s="604"/>
      <c r="BW67" s="20"/>
      <c r="BX67" s="22"/>
      <c r="CB67" s="20"/>
      <c r="CG67" s="20"/>
    </row>
    <row r="68" spans="1:85" s="378" customFormat="1">
      <c r="A68" s="573" t="s">
        <v>204</v>
      </c>
      <c r="B68" s="435" t="s">
        <v>205</v>
      </c>
      <c r="C68" s="134" t="s">
        <v>206</v>
      </c>
      <c r="D68" s="116" t="s">
        <v>207</v>
      </c>
      <c r="E68" s="509" t="s">
        <v>208</v>
      </c>
      <c r="F68" s="285"/>
      <c r="G68" s="662"/>
      <c r="H68" s="663"/>
      <c r="K68" s="285"/>
      <c r="P68" s="285"/>
      <c r="U68" s="285"/>
      <c r="Y68" s="664"/>
      <c r="Z68" s="665"/>
      <c r="AA68" s="662"/>
      <c r="AB68" s="662"/>
      <c r="AC68" s="662"/>
      <c r="AD68" s="662"/>
      <c r="AE68" s="666"/>
      <c r="AF68" s="667"/>
      <c r="AG68" s="667"/>
      <c r="AH68" s="667"/>
      <c r="AI68" s="208" t="s">
        <v>53</v>
      </c>
      <c r="AJ68" s="666"/>
      <c r="AK68" s="667"/>
      <c r="AL68" s="667"/>
      <c r="AM68" s="667"/>
      <c r="AN68" s="667"/>
      <c r="AO68" s="285"/>
      <c r="AS68" s="668"/>
      <c r="AY68" s="285"/>
      <c r="BC68" s="668"/>
      <c r="BH68" s="668"/>
      <c r="BM68" s="668"/>
      <c r="BR68" s="668"/>
      <c r="BU68" s="669" t="s">
        <v>54</v>
      </c>
      <c r="BW68" s="668"/>
      <c r="BX68" s="285"/>
      <c r="CB68" s="668"/>
      <c r="CG68" s="668"/>
    </row>
    <row r="69" spans="1:85" ht="45.75">
      <c r="A69" s="145" t="s">
        <v>209</v>
      </c>
      <c r="B69" s="559" t="s">
        <v>210</v>
      </c>
      <c r="C69" s="133" t="s">
        <v>211</v>
      </c>
      <c r="D69" s="553"/>
      <c r="E69" s="451" t="s">
        <v>212</v>
      </c>
      <c r="F69" s="22"/>
      <c r="G69" s="16"/>
      <c r="H69" s="48"/>
      <c r="K69" s="43"/>
      <c r="L69" s="15"/>
      <c r="M69" s="15"/>
      <c r="N69" s="15"/>
      <c r="O69" s="15"/>
      <c r="P69" s="22"/>
      <c r="U69" s="43"/>
      <c r="V69" s="15"/>
      <c r="W69" s="15"/>
      <c r="X69" s="15"/>
      <c r="Y69" s="34"/>
      <c r="Z69" s="65"/>
      <c r="AA69" s="16"/>
      <c r="AB69" s="16"/>
      <c r="AC69" s="16"/>
      <c r="AD69" s="16"/>
      <c r="AE69" s="43"/>
      <c r="AF69" s="15"/>
      <c r="AG69" s="15"/>
      <c r="AH69" s="15"/>
      <c r="AI69" s="11" t="s">
        <v>53</v>
      </c>
      <c r="AJ69" s="22"/>
      <c r="AO69" s="43"/>
      <c r="AP69" s="15"/>
      <c r="AQ69" s="15"/>
      <c r="AR69" s="15"/>
      <c r="AS69" s="44"/>
      <c r="AY69" s="43"/>
      <c r="AZ69" s="15"/>
      <c r="BA69" s="15"/>
      <c r="BB69" s="15"/>
      <c r="BC69" s="44"/>
      <c r="BH69" s="20"/>
      <c r="BI69" s="15"/>
      <c r="BJ69" s="15"/>
      <c r="BK69" s="15"/>
      <c r="BL69" s="15"/>
      <c r="BM69" s="44"/>
      <c r="BR69" s="20"/>
      <c r="BS69" s="15"/>
      <c r="BT69" s="15"/>
      <c r="BU69" s="52" t="s">
        <v>54</v>
      </c>
      <c r="BV69" s="15"/>
      <c r="BW69" s="44"/>
      <c r="BX69" s="22"/>
      <c r="CB69" s="20"/>
      <c r="CC69" s="15"/>
      <c r="CD69" s="15"/>
      <c r="CE69" s="15"/>
      <c r="CF69" s="15"/>
      <c r="CG69" s="44"/>
    </row>
    <row r="70" spans="1:85" ht="31.5">
      <c r="A70" s="31" t="s">
        <v>213</v>
      </c>
      <c r="B70" s="35"/>
      <c r="C70" s="629"/>
      <c r="D70" s="114"/>
      <c r="E70" s="114"/>
      <c r="F70" s="829"/>
      <c r="G70" s="7"/>
      <c r="H70" s="47"/>
      <c r="I70" s="809"/>
      <c r="J70" s="809"/>
      <c r="K70" s="828"/>
      <c r="L70" s="827"/>
      <c r="M70" s="827"/>
      <c r="N70" s="827"/>
      <c r="O70" s="827"/>
      <c r="P70" s="829"/>
      <c r="Q70" s="809"/>
      <c r="R70" s="809"/>
      <c r="S70" s="809"/>
      <c r="T70" s="809"/>
      <c r="U70" s="828"/>
      <c r="V70" s="827"/>
      <c r="W70" s="827"/>
      <c r="X70" s="827"/>
      <c r="Y70" s="34"/>
      <c r="Z70" s="66"/>
      <c r="AA70" s="7"/>
      <c r="AB70" s="7"/>
      <c r="AC70" s="7"/>
      <c r="AD70" s="7"/>
      <c r="AE70" s="828"/>
      <c r="AF70" s="827"/>
      <c r="AG70" s="827"/>
      <c r="AH70" s="827"/>
      <c r="AI70" s="11" t="s">
        <v>53</v>
      </c>
      <c r="AJ70" s="829"/>
      <c r="AK70" s="809"/>
      <c r="AL70" s="809"/>
      <c r="AM70" s="809"/>
      <c r="AN70" s="809"/>
      <c r="AO70" s="828"/>
      <c r="AP70" s="827"/>
      <c r="AQ70" s="827"/>
      <c r="AR70" s="827"/>
      <c r="AS70" s="830"/>
      <c r="AU70" s="809"/>
      <c r="AV70" s="809"/>
      <c r="AW70" s="809"/>
      <c r="AY70" s="43"/>
      <c r="AZ70" s="827"/>
      <c r="BA70" s="827"/>
      <c r="BB70" s="827"/>
      <c r="BC70" s="44"/>
      <c r="BE70" s="809"/>
      <c r="BF70" s="809"/>
      <c r="BG70" s="809"/>
      <c r="BH70" s="831"/>
      <c r="BI70" s="827"/>
      <c r="BJ70" s="827"/>
      <c r="BK70" s="827"/>
      <c r="BL70" s="827"/>
      <c r="BM70" s="830"/>
      <c r="BN70" s="809"/>
      <c r="BO70" s="809"/>
      <c r="BP70" s="809"/>
      <c r="BQ70" s="809"/>
      <c r="BR70" s="831"/>
      <c r="BS70" s="827"/>
      <c r="BT70" s="827"/>
      <c r="BU70" s="52" t="s">
        <v>54</v>
      </c>
      <c r="BV70" s="827"/>
      <c r="BW70" s="830"/>
      <c r="BX70" s="829"/>
      <c r="BY70" s="809"/>
      <c r="BZ70" s="809"/>
      <c r="CA70" s="809"/>
      <c r="CB70" s="831"/>
      <c r="CC70" s="827"/>
      <c r="CD70" s="827"/>
      <c r="CE70" s="827"/>
      <c r="CF70" s="827"/>
      <c r="CG70" s="830"/>
    </row>
    <row r="71" spans="1:85">
      <c r="A71" s="2" t="s">
        <v>214</v>
      </c>
      <c r="B71" s="2"/>
      <c r="C71" s="614"/>
      <c r="D71" s="110" t="s">
        <v>215</v>
      </c>
      <c r="E71" s="615" t="s">
        <v>58</v>
      </c>
      <c r="F71" s="829"/>
      <c r="G71" s="7"/>
      <c r="H71" s="47"/>
      <c r="I71" s="809"/>
      <c r="J71" s="809"/>
      <c r="K71" s="828"/>
      <c r="L71" s="827"/>
      <c r="M71" s="827"/>
      <c r="N71" s="827"/>
      <c r="O71" s="827"/>
      <c r="P71" s="829"/>
      <c r="Q71" s="809"/>
      <c r="R71" s="809"/>
      <c r="S71" s="809"/>
      <c r="T71" s="809"/>
      <c r="U71" s="828"/>
      <c r="V71" s="827"/>
      <c r="W71" s="827"/>
      <c r="X71" s="827"/>
      <c r="Y71" s="34"/>
      <c r="Z71" s="66"/>
      <c r="AA71" s="7"/>
      <c r="AB71" s="7"/>
      <c r="AC71" s="7"/>
      <c r="AD71" s="7"/>
      <c r="AE71" s="828"/>
      <c r="AF71" s="827"/>
      <c r="AG71" s="827"/>
      <c r="AH71" s="827"/>
      <c r="AI71" s="11"/>
      <c r="AJ71" s="829"/>
      <c r="AK71" s="809"/>
      <c r="AL71" s="809"/>
      <c r="AM71" s="809"/>
      <c r="AN71" s="809"/>
      <c r="AO71" s="828"/>
      <c r="AP71" s="827"/>
      <c r="AQ71" s="827"/>
      <c r="AR71" s="827"/>
      <c r="AS71" s="830"/>
      <c r="AU71" s="809"/>
      <c r="AV71" s="809"/>
      <c r="AW71" s="809"/>
      <c r="AY71" s="43"/>
      <c r="AZ71" s="827"/>
      <c r="BA71" s="827"/>
      <c r="BB71" s="827"/>
      <c r="BC71" s="44"/>
      <c r="BE71" s="809"/>
      <c r="BF71" s="809"/>
      <c r="BG71" s="809"/>
      <c r="BH71" s="831"/>
      <c r="BI71" s="827"/>
      <c r="BJ71" s="827"/>
      <c r="BK71" s="827"/>
      <c r="BL71" s="827"/>
      <c r="BM71" s="830"/>
      <c r="BN71" s="809"/>
      <c r="BO71" s="809"/>
      <c r="BP71" s="809"/>
      <c r="BQ71" s="809"/>
      <c r="BR71" s="831"/>
      <c r="BS71" s="827"/>
      <c r="BT71" s="827"/>
      <c r="BU71" s="52"/>
      <c r="BV71" s="827"/>
      <c r="BW71" s="830"/>
      <c r="BX71" s="829"/>
      <c r="BY71" s="809"/>
      <c r="BZ71" s="809"/>
      <c r="CA71" s="809"/>
      <c r="CB71" s="831"/>
      <c r="CC71" s="827"/>
      <c r="CD71" s="827"/>
      <c r="CE71" s="827"/>
      <c r="CF71" s="827"/>
      <c r="CG71" s="830"/>
    </row>
    <row r="72" spans="1:85">
      <c r="A72" s="634" t="s">
        <v>216</v>
      </c>
      <c r="B72" s="605"/>
      <c r="C72" s="637" t="s">
        <v>19</v>
      </c>
      <c r="D72" s="635"/>
      <c r="E72" s="636" t="s">
        <v>217</v>
      </c>
      <c r="G72" s="16"/>
      <c r="H72" s="48"/>
      <c r="K72" s="43"/>
      <c r="L72" s="15"/>
      <c r="M72" s="15"/>
      <c r="N72" s="15"/>
      <c r="O72" s="15"/>
      <c r="P72" s="22"/>
      <c r="U72" s="43"/>
      <c r="V72" s="15"/>
      <c r="W72" s="15"/>
      <c r="X72" s="15"/>
      <c r="Y72" s="34"/>
      <c r="Z72" s="65"/>
      <c r="AA72" s="16"/>
      <c r="AB72" s="16"/>
      <c r="AC72" s="16"/>
      <c r="AD72" s="16"/>
      <c r="AE72" s="43"/>
      <c r="AF72" s="15"/>
      <c r="AG72" s="15"/>
      <c r="AH72" s="15"/>
      <c r="AI72" s="11"/>
      <c r="AJ72" s="22"/>
      <c r="AO72" s="43"/>
      <c r="AP72" s="15"/>
      <c r="AQ72" s="15"/>
      <c r="AR72" s="15"/>
      <c r="AS72" s="44"/>
      <c r="AY72" s="43"/>
      <c r="AZ72" s="15"/>
      <c r="BA72" s="15"/>
      <c r="BB72" s="15"/>
      <c r="BC72" s="44"/>
      <c r="BH72" s="20"/>
      <c r="BI72" s="15"/>
      <c r="BJ72" s="15"/>
      <c r="BK72" s="15"/>
      <c r="BL72" s="15"/>
      <c r="BM72" s="44"/>
      <c r="BR72" s="20"/>
      <c r="BS72" s="15"/>
      <c r="BT72" s="15"/>
      <c r="BU72" s="52"/>
      <c r="BV72" s="15"/>
      <c r="BW72" s="44"/>
      <c r="BX72" s="22"/>
      <c r="CB72" s="20"/>
      <c r="CC72" s="15"/>
      <c r="CD72" s="15"/>
      <c r="CE72" s="15"/>
      <c r="CF72" s="15"/>
      <c r="CG72" s="44"/>
    </row>
    <row r="73" spans="1:85" ht="15.75" customHeight="1">
      <c r="A73" s="145" t="s">
        <v>218</v>
      </c>
      <c r="B73" s="505" t="s">
        <v>219</v>
      </c>
      <c r="C73" s="133" t="s">
        <v>220</v>
      </c>
      <c r="D73" s="473"/>
      <c r="E73" s="473" t="s">
        <v>221</v>
      </c>
      <c r="F73" s="809"/>
      <c r="G73" s="7"/>
      <c r="H73" s="47"/>
      <c r="I73" s="809"/>
      <c r="J73" s="809"/>
      <c r="K73" s="829"/>
      <c r="L73" s="809"/>
      <c r="M73" s="809"/>
      <c r="N73" s="809"/>
      <c r="O73" s="809"/>
      <c r="P73" s="829"/>
      <c r="Q73" s="809"/>
      <c r="R73" s="809"/>
      <c r="S73" s="809"/>
      <c r="T73" s="809"/>
      <c r="U73" s="829"/>
      <c r="V73" s="809"/>
      <c r="W73" s="809"/>
      <c r="X73" s="809"/>
      <c r="Y73" s="7"/>
      <c r="Z73" s="66"/>
      <c r="AA73" s="7"/>
      <c r="AB73" s="7"/>
      <c r="AC73" s="7"/>
      <c r="AD73" s="7"/>
      <c r="AE73" s="829"/>
      <c r="AF73" s="809"/>
      <c r="AG73" s="809"/>
      <c r="AH73" s="809"/>
      <c r="AI73" s="410" t="s">
        <v>53</v>
      </c>
      <c r="AJ73" s="829"/>
      <c r="AK73" s="809"/>
      <c r="AL73" s="809"/>
      <c r="AM73" s="809"/>
      <c r="AN73" s="809"/>
      <c r="AO73" s="829"/>
      <c r="AP73" s="809"/>
      <c r="AQ73" s="809"/>
      <c r="AR73" s="809"/>
      <c r="AS73" s="831"/>
      <c r="AU73" s="809"/>
      <c r="AV73" s="809"/>
      <c r="AW73" s="809"/>
      <c r="AY73" s="22"/>
      <c r="AZ73" s="809"/>
      <c r="BA73" s="809"/>
      <c r="BB73" s="809"/>
      <c r="BC73" s="20"/>
      <c r="BE73" s="809"/>
      <c r="BF73" s="809"/>
      <c r="BG73" s="809"/>
      <c r="BH73" s="831"/>
      <c r="BI73" s="809"/>
      <c r="BJ73" s="809"/>
      <c r="BK73" s="809"/>
      <c r="BL73" s="809"/>
      <c r="BM73" s="831"/>
      <c r="BN73" s="809"/>
      <c r="BO73" s="809"/>
      <c r="BP73" s="809"/>
      <c r="BQ73" s="809"/>
      <c r="BR73" s="831"/>
      <c r="BS73" s="809"/>
      <c r="BT73" s="809"/>
      <c r="BU73" s="604" t="s">
        <v>54</v>
      </c>
      <c r="BV73" s="809"/>
      <c r="BW73" s="831"/>
      <c r="BX73" s="829"/>
      <c r="BY73" s="809"/>
      <c r="BZ73" s="809"/>
      <c r="CA73" s="809"/>
      <c r="CB73" s="831"/>
      <c r="CC73" s="809"/>
      <c r="CD73" s="809"/>
      <c r="CE73" s="809"/>
      <c r="CF73" s="809"/>
      <c r="CG73" s="831"/>
    </row>
    <row r="74" spans="1:85" ht="15.75" customHeight="1">
      <c r="A74" s="450" t="s">
        <v>222</v>
      </c>
      <c r="B74" s="749" t="s">
        <v>223</v>
      </c>
      <c r="C74" s="556"/>
      <c r="D74" s="451" t="s">
        <v>224</v>
      </c>
      <c r="E74" s="587" t="s">
        <v>225</v>
      </c>
      <c r="F74" s="809"/>
      <c r="G74" s="7"/>
      <c r="H74" s="47"/>
      <c r="I74" s="809"/>
      <c r="J74" s="809"/>
      <c r="K74" s="829"/>
      <c r="L74" s="809"/>
      <c r="M74" s="809"/>
      <c r="N74" s="809"/>
      <c r="O74" s="809"/>
      <c r="P74" s="829"/>
      <c r="Q74" s="809"/>
      <c r="R74" s="809"/>
      <c r="S74" s="809"/>
      <c r="T74" s="809"/>
      <c r="U74" s="829"/>
      <c r="V74" s="809"/>
      <c r="W74" s="809"/>
      <c r="X74" s="809"/>
      <c r="Y74" s="7"/>
      <c r="Z74" s="66"/>
      <c r="AA74" s="7"/>
      <c r="AB74" s="7"/>
      <c r="AC74" s="7"/>
      <c r="AD74" s="7"/>
      <c r="AE74" s="829"/>
      <c r="AF74" s="809"/>
      <c r="AG74" s="809"/>
      <c r="AH74" s="809"/>
      <c r="AI74" s="410"/>
      <c r="AJ74" s="829"/>
      <c r="AK74" s="809"/>
      <c r="AL74" s="809"/>
      <c r="AM74" s="809"/>
      <c r="AN74" s="809"/>
      <c r="AO74" s="829"/>
      <c r="AP74" s="809"/>
      <c r="AQ74" s="809"/>
      <c r="AR74" s="809"/>
      <c r="AS74" s="831"/>
      <c r="AU74" s="809"/>
      <c r="AV74" s="809"/>
      <c r="AW74" s="809"/>
      <c r="AY74" s="22"/>
      <c r="AZ74" s="809"/>
      <c r="BA74" s="809"/>
      <c r="BB74" s="809"/>
      <c r="BC74" s="20"/>
      <c r="BE74" s="809"/>
      <c r="BF74" s="809"/>
      <c r="BG74" s="809"/>
      <c r="BH74" s="831"/>
      <c r="BI74" s="809"/>
      <c r="BJ74" s="809"/>
      <c r="BK74" s="809"/>
      <c r="BL74" s="809"/>
      <c r="BM74" s="831"/>
      <c r="BN74" s="809"/>
      <c r="BO74" s="809"/>
      <c r="BP74" s="809"/>
      <c r="BQ74" s="809"/>
      <c r="BR74" s="831"/>
      <c r="BS74" s="809"/>
      <c r="BT74" s="809"/>
      <c r="BU74" s="604"/>
      <c r="BV74" s="809"/>
      <c r="BW74" s="831"/>
      <c r="BX74" s="829"/>
      <c r="BY74" s="809"/>
      <c r="BZ74" s="809"/>
      <c r="CA74" s="809"/>
      <c r="CB74" s="831"/>
      <c r="CC74" s="809"/>
      <c r="CD74" s="809"/>
      <c r="CE74" s="809"/>
      <c r="CF74" s="809"/>
      <c r="CG74" s="831"/>
    </row>
    <row r="75" spans="1:85" ht="15.75" customHeight="1">
      <c r="A75" s="450" t="s">
        <v>226</v>
      </c>
      <c r="B75" s="749"/>
      <c r="C75" s="556"/>
      <c r="D75" s="451" t="s">
        <v>190</v>
      </c>
      <c r="E75" s="587" t="s">
        <v>190</v>
      </c>
      <c r="F75" s="809"/>
      <c r="G75" s="7"/>
      <c r="H75" s="47"/>
      <c r="I75" s="809"/>
      <c r="J75" s="809"/>
      <c r="K75" s="829"/>
      <c r="L75" s="809"/>
      <c r="M75" s="809"/>
      <c r="N75" s="809"/>
      <c r="O75" s="809"/>
      <c r="P75" s="829"/>
      <c r="Q75" s="809"/>
      <c r="R75" s="809"/>
      <c r="S75" s="809"/>
      <c r="T75" s="809"/>
      <c r="U75" s="829"/>
      <c r="V75" s="809"/>
      <c r="W75" s="809"/>
      <c r="X75" s="809"/>
      <c r="Y75" s="7"/>
      <c r="Z75" s="66"/>
      <c r="AA75" s="7"/>
      <c r="AB75" s="7"/>
      <c r="AC75" s="7"/>
      <c r="AD75" s="7"/>
      <c r="AE75" s="829"/>
      <c r="AF75" s="809"/>
      <c r="AG75" s="809"/>
      <c r="AH75" s="809"/>
      <c r="AI75" s="410"/>
      <c r="AJ75" s="829"/>
      <c r="AK75" s="809"/>
      <c r="AL75" s="809"/>
      <c r="AM75" s="809"/>
      <c r="AN75" s="809"/>
      <c r="AO75" s="829"/>
      <c r="AP75" s="809"/>
      <c r="AQ75" s="809"/>
      <c r="AR75" s="809"/>
      <c r="AS75" s="831"/>
      <c r="AU75" s="809"/>
      <c r="AV75" s="809"/>
      <c r="AW75" s="809"/>
      <c r="AY75" s="22"/>
      <c r="AZ75" s="809"/>
      <c r="BA75" s="809"/>
      <c r="BB75" s="809"/>
      <c r="BC75" s="20"/>
      <c r="BE75" s="809"/>
      <c r="BF75" s="809"/>
      <c r="BG75" s="809"/>
      <c r="BH75" s="831"/>
      <c r="BI75" s="809"/>
      <c r="BJ75" s="809"/>
      <c r="BK75" s="809"/>
      <c r="BL75" s="809"/>
      <c r="BM75" s="831"/>
      <c r="BN75" s="809"/>
      <c r="BO75" s="809"/>
      <c r="BP75" s="809"/>
      <c r="BQ75" s="809"/>
      <c r="BR75" s="831"/>
      <c r="BS75" s="809"/>
      <c r="BT75" s="809"/>
      <c r="BU75" s="604"/>
      <c r="BV75" s="809"/>
      <c r="BW75" s="831"/>
      <c r="BX75" s="829"/>
      <c r="BY75" s="809"/>
      <c r="BZ75" s="809"/>
      <c r="CA75" s="809"/>
      <c r="CB75" s="831"/>
      <c r="CC75" s="809"/>
      <c r="CD75" s="809"/>
      <c r="CE75" s="809"/>
      <c r="CF75" s="809"/>
      <c r="CG75" s="831"/>
    </row>
    <row r="76" spans="1:85" ht="30.75">
      <c r="A76" s="608" t="s">
        <v>227</v>
      </c>
      <c r="B76" s="631"/>
      <c r="C76" s="632"/>
      <c r="D76" s="585"/>
      <c r="E76" s="638" t="s">
        <v>228</v>
      </c>
      <c r="G76" s="16"/>
      <c r="H76" s="48"/>
      <c r="K76" s="43"/>
      <c r="L76" s="15"/>
      <c r="M76" s="15"/>
      <c r="N76" s="15"/>
      <c r="O76" s="15"/>
      <c r="P76" s="22"/>
      <c r="U76" s="43"/>
      <c r="V76" s="15"/>
      <c r="W76" s="15"/>
      <c r="X76" s="15"/>
      <c r="Y76" s="34"/>
      <c r="Z76" s="65"/>
      <c r="AA76" s="16"/>
      <c r="AB76" s="16"/>
      <c r="AC76" s="16"/>
      <c r="AD76" s="16"/>
      <c r="AE76" s="43"/>
      <c r="AF76" s="15"/>
      <c r="AG76" s="15"/>
      <c r="AH76" s="15"/>
      <c r="AI76" s="11"/>
      <c r="AJ76" s="22"/>
      <c r="AO76" s="43"/>
      <c r="AP76" s="15"/>
      <c r="AQ76" s="15"/>
      <c r="AR76" s="15"/>
      <c r="AS76" s="44"/>
      <c r="AY76" s="43"/>
      <c r="AZ76" s="15"/>
      <c r="BA76" s="15"/>
      <c r="BB76" s="15"/>
      <c r="BC76" s="44"/>
      <c r="BH76" s="20"/>
      <c r="BI76" s="15"/>
      <c r="BJ76" s="15"/>
      <c r="BK76" s="15"/>
      <c r="BL76" s="15"/>
      <c r="BM76" s="44"/>
      <c r="BR76" s="20"/>
      <c r="BS76" s="15"/>
      <c r="BT76" s="15"/>
      <c r="BU76" s="52"/>
      <c r="BV76" s="15"/>
      <c r="BW76" s="44"/>
      <c r="BX76" s="22"/>
      <c r="CB76" s="20"/>
      <c r="CC76" s="15"/>
      <c r="CD76" s="15"/>
      <c r="CE76" s="15"/>
      <c r="CF76" s="15"/>
      <c r="CG76" s="44"/>
    </row>
    <row r="77" spans="1:85">
      <c r="A77" s="608" t="s">
        <v>229</v>
      </c>
      <c r="B77" s="631"/>
      <c r="C77" s="632"/>
      <c r="D77" s="750" t="s">
        <v>230</v>
      </c>
      <c r="E77" s="638"/>
      <c r="G77" s="16"/>
      <c r="H77" s="48"/>
      <c r="K77" s="43"/>
      <c r="L77" s="15"/>
      <c r="M77" s="15"/>
      <c r="N77" s="15"/>
      <c r="O77" s="15"/>
      <c r="P77" s="22"/>
      <c r="U77" s="43"/>
      <c r="V77" s="15"/>
      <c r="W77" s="15"/>
      <c r="X77" s="15"/>
      <c r="Y77" s="34"/>
      <c r="Z77" s="65"/>
      <c r="AA77" s="16"/>
      <c r="AB77" s="16"/>
      <c r="AC77" s="16"/>
      <c r="AD77" s="16"/>
      <c r="AE77" s="43"/>
      <c r="AF77" s="15"/>
      <c r="AG77" s="15"/>
      <c r="AH77" s="15"/>
      <c r="AI77" s="11"/>
      <c r="AJ77" s="22"/>
      <c r="AO77" s="43"/>
      <c r="AP77" s="15"/>
      <c r="AQ77" s="15"/>
      <c r="AR77" s="15"/>
      <c r="AS77" s="44"/>
      <c r="AY77" s="43"/>
      <c r="AZ77" s="15"/>
      <c r="BA77" s="15"/>
      <c r="BB77" s="15"/>
      <c r="BC77" s="44"/>
      <c r="BH77" s="20"/>
      <c r="BI77" s="15"/>
      <c r="BJ77" s="15"/>
      <c r="BK77" s="15"/>
      <c r="BL77" s="15"/>
      <c r="BM77" s="44"/>
      <c r="BR77" s="20"/>
      <c r="BS77" s="15"/>
      <c r="BT77" s="15"/>
      <c r="BU77" s="52"/>
      <c r="BV77" s="15"/>
      <c r="BW77" s="44"/>
      <c r="BX77" s="22"/>
      <c r="CB77" s="20"/>
      <c r="CC77" s="15"/>
      <c r="CD77" s="15"/>
      <c r="CE77" s="15"/>
      <c r="CF77" s="15"/>
      <c r="CG77" s="44"/>
    </row>
    <row r="78" spans="1:85">
      <c r="A78" s="623" t="s">
        <v>231</v>
      </c>
      <c r="B78" s="624" t="s">
        <v>232</v>
      </c>
      <c r="C78" s="625"/>
      <c r="D78" s="626"/>
      <c r="E78" s="593" t="s">
        <v>112</v>
      </c>
      <c r="G78" s="16"/>
      <c r="H78" s="48"/>
      <c r="K78" s="43"/>
      <c r="L78" s="15"/>
      <c r="M78" s="15"/>
      <c r="N78" s="15"/>
      <c r="O78" s="15"/>
      <c r="P78" s="22"/>
      <c r="U78" s="43"/>
      <c r="V78" s="15"/>
      <c r="W78" s="15"/>
      <c r="X78" s="15"/>
      <c r="Y78" s="34"/>
      <c r="Z78" s="65"/>
      <c r="AA78" s="16"/>
      <c r="AB78" s="16"/>
      <c r="AC78" s="16"/>
      <c r="AD78" s="16"/>
      <c r="AE78" s="43"/>
      <c r="AF78" s="15"/>
      <c r="AG78" s="15"/>
      <c r="AH78" s="15"/>
      <c r="AI78" s="11"/>
      <c r="AJ78" s="22"/>
      <c r="AO78" s="43"/>
      <c r="AP78" s="15"/>
      <c r="AQ78" s="15"/>
      <c r="AR78" s="15"/>
      <c r="AS78" s="44"/>
      <c r="AY78" s="43"/>
      <c r="AZ78" s="15"/>
      <c r="BA78" s="15"/>
      <c r="BB78" s="15"/>
      <c r="BC78" s="44"/>
      <c r="BH78" s="20"/>
      <c r="BI78" s="15"/>
      <c r="BJ78" s="15"/>
      <c r="BK78" s="15"/>
      <c r="BL78" s="15"/>
      <c r="BM78" s="44"/>
      <c r="BR78" s="20"/>
      <c r="BS78" s="15"/>
      <c r="BT78" s="15"/>
      <c r="BU78" s="52"/>
      <c r="BV78" s="15"/>
      <c r="BW78" s="44"/>
      <c r="BX78" s="22"/>
      <c r="CB78" s="20"/>
      <c r="CC78" s="15"/>
      <c r="CD78" s="15"/>
      <c r="CE78" s="15"/>
      <c r="CF78" s="15"/>
      <c r="CG78" s="44"/>
    </row>
    <row r="79" spans="1:85">
      <c r="A79" s="548" t="s">
        <v>233</v>
      </c>
      <c r="B79" s="867" t="s">
        <v>234</v>
      </c>
      <c r="C79" s="868" t="s">
        <v>235</v>
      </c>
      <c r="D79" s="653" t="s">
        <v>236</v>
      </c>
      <c r="E79" s="869" t="s">
        <v>237</v>
      </c>
      <c r="F79" s="834"/>
      <c r="G79" s="60"/>
      <c r="H79" s="61"/>
      <c r="I79" s="809"/>
      <c r="J79" s="809"/>
      <c r="K79" s="828"/>
      <c r="L79" s="827"/>
      <c r="M79" s="827"/>
      <c r="N79" s="827"/>
      <c r="O79" s="827"/>
      <c r="P79" s="829"/>
      <c r="Q79" s="809"/>
      <c r="R79" s="809"/>
      <c r="S79" s="809"/>
      <c r="T79" s="809"/>
      <c r="U79" s="828"/>
      <c r="V79" s="827"/>
      <c r="W79" s="827"/>
      <c r="X79" s="827"/>
      <c r="Y79" s="34"/>
      <c r="Z79" s="66"/>
      <c r="AA79" s="7"/>
      <c r="AB79" s="7"/>
      <c r="AC79" s="7"/>
      <c r="AD79" s="7"/>
      <c r="AE79" s="828"/>
      <c r="AF79" s="827"/>
      <c r="AG79" s="827"/>
      <c r="AH79" s="827"/>
      <c r="AI79" s="11"/>
      <c r="AJ79" s="829"/>
      <c r="AK79" s="809"/>
      <c r="AL79" s="809"/>
      <c r="AM79" s="809"/>
      <c r="AN79" s="809"/>
      <c r="AO79" s="828"/>
      <c r="AP79" s="827"/>
      <c r="AQ79" s="827"/>
      <c r="AR79" s="827"/>
      <c r="AS79" s="830"/>
      <c r="AU79" s="809"/>
      <c r="AV79" s="809"/>
      <c r="AW79" s="809"/>
      <c r="AY79" s="43"/>
      <c r="AZ79" s="827"/>
      <c r="BA79" s="827"/>
      <c r="BB79" s="827"/>
      <c r="BC79" s="44"/>
      <c r="BE79" s="809"/>
      <c r="BF79" s="809"/>
      <c r="BG79" s="809"/>
      <c r="BH79" s="831"/>
      <c r="BI79" s="827"/>
      <c r="BJ79" s="827"/>
      <c r="BK79" s="827"/>
      <c r="BL79" s="827"/>
      <c r="BM79" s="830"/>
      <c r="BN79" s="809"/>
      <c r="BO79" s="809"/>
      <c r="BP79" s="809"/>
      <c r="BQ79" s="809"/>
      <c r="BR79" s="831"/>
      <c r="BS79" s="827"/>
      <c r="BT79" s="827"/>
      <c r="BU79" s="53"/>
      <c r="BV79" s="827"/>
      <c r="BW79" s="830"/>
      <c r="BX79" s="829"/>
      <c r="BY79" s="809"/>
      <c r="BZ79" s="809"/>
      <c r="CA79" s="809"/>
      <c r="CB79" s="831"/>
      <c r="CC79" s="827"/>
      <c r="CD79" s="827"/>
      <c r="CE79" s="827"/>
      <c r="CF79" s="827"/>
      <c r="CG79" s="830"/>
    </row>
    <row r="80" spans="1:85">
      <c r="A80" s="548" t="s">
        <v>238</v>
      </c>
      <c r="B80" s="867" t="s">
        <v>239</v>
      </c>
      <c r="C80" s="868" t="s">
        <v>235</v>
      </c>
      <c r="D80" s="653" t="s">
        <v>236</v>
      </c>
      <c r="E80" s="869" t="s">
        <v>237</v>
      </c>
      <c r="F80" s="834"/>
      <c r="G80" s="60"/>
      <c r="H80" s="61"/>
      <c r="I80" s="809"/>
      <c r="J80" s="809"/>
      <c r="K80" s="828"/>
      <c r="L80" s="827"/>
      <c r="M80" s="827"/>
      <c r="N80" s="827"/>
      <c r="O80" s="827"/>
      <c r="P80" s="829"/>
      <c r="Q80" s="809"/>
      <c r="R80" s="809"/>
      <c r="S80" s="809"/>
      <c r="T80" s="809"/>
      <c r="U80" s="828"/>
      <c r="V80" s="827"/>
      <c r="W80" s="827"/>
      <c r="X80" s="827"/>
      <c r="Y80" s="34"/>
      <c r="Z80" s="66"/>
      <c r="AA80" s="7"/>
      <c r="AB80" s="7"/>
      <c r="AC80" s="7"/>
      <c r="AD80" s="7"/>
      <c r="AE80" s="828"/>
      <c r="AF80" s="827"/>
      <c r="AG80" s="827"/>
      <c r="AH80" s="827"/>
      <c r="AI80" s="11"/>
      <c r="AJ80" s="829"/>
      <c r="AK80" s="809"/>
      <c r="AL80" s="809"/>
      <c r="AM80" s="809"/>
      <c r="AN80" s="809"/>
      <c r="AO80" s="828"/>
      <c r="AP80" s="827"/>
      <c r="AQ80" s="827"/>
      <c r="AR80" s="827"/>
      <c r="AS80" s="830"/>
      <c r="AU80" s="809"/>
      <c r="AV80" s="809"/>
      <c r="AW80" s="809"/>
      <c r="AY80" s="43"/>
      <c r="AZ80" s="827"/>
      <c r="BA80" s="827"/>
      <c r="BB80" s="827"/>
      <c r="BC80" s="44"/>
      <c r="BE80" s="809"/>
      <c r="BF80" s="809"/>
      <c r="BG80" s="809"/>
      <c r="BH80" s="831"/>
      <c r="BI80" s="827"/>
      <c r="BJ80" s="827"/>
      <c r="BK80" s="827"/>
      <c r="BL80" s="827"/>
      <c r="BM80" s="830"/>
      <c r="BN80" s="809"/>
      <c r="BO80" s="809"/>
      <c r="BP80" s="809"/>
      <c r="BQ80" s="809"/>
      <c r="BR80" s="831"/>
      <c r="BS80" s="827"/>
      <c r="BT80" s="827"/>
      <c r="BU80" s="53"/>
      <c r="BV80" s="827"/>
      <c r="BW80" s="830"/>
      <c r="BX80" s="829"/>
      <c r="BY80" s="809"/>
      <c r="BZ80" s="809"/>
      <c r="CA80" s="809"/>
      <c r="CB80" s="831"/>
      <c r="CC80" s="827"/>
      <c r="CD80" s="827"/>
      <c r="CE80" s="827"/>
      <c r="CF80" s="827"/>
      <c r="CG80" s="830"/>
    </row>
    <row r="81" spans="1:85">
      <c r="A81" s="548" t="s">
        <v>240</v>
      </c>
      <c r="B81" s="619"/>
      <c r="C81" s="620"/>
      <c r="D81" s="621"/>
      <c r="E81" s="622" t="s">
        <v>241</v>
      </c>
      <c r="G81" s="16"/>
      <c r="H81" s="48"/>
      <c r="K81" s="43"/>
      <c r="L81" s="15"/>
      <c r="M81" s="15"/>
      <c r="N81" s="15"/>
      <c r="O81" s="15"/>
      <c r="P81" s="22"/>
      <c r="U81" s="43"/>
      <c r="V81" s="15"/>
      <c r="W81" s="15"/>
      <c r="X81" s="15"/>
      <c r="Y81" s="34"/>
      <c r="Z81" s="65"/>
      <c r="AA81" s="16"/>
      <c r="AB81" s="16"/>
      <c r="AC81" s="16"/>
      <c r="AD81" s="16"/>
      <c r="AE81" s="43"/>
      <c r="AF81" s="15"/>
      <c r="AG81" s="15"/>
      <c r="AH81" s="15"/>
      <c r="AI81" s="11"/>
      <c r="AJ81" s="22"/>
      <c r="AO81" s="43"/>
      <c r="AP81" s="15"/>
      <c r="AQ81" s="15"/>
      <c r="AR81" s="15"/>
      <c r="AS81" s="44"/>
      <c r="AY81" s="43"/>
      <c r="AZ81" s="15"/>
      <c r="BA81" s="15"/>
      <c r="BB81" s="15"/>
      <c r="BC81" s="44"/>
      <c r="BH81" s="20"/>
      <c r="BI81" s="15"/>
      <c r="BJ81" s="15"/>
      <c r="BK81" s="15"/>
      <c r="BL81" s="15"/>
      <c r="BM81" s="44"/>
      <c r="BR81" s="20"/>
      <c r="BS81" s="15"/>
      <c r="BT81" s="15"/>
      <c r="BU81" s="52"/>
      <c r="BV81" s="15"/>
      <c r="BW81" s="44"/>
      <c r="BX81" s="22"/>
      <c r="CB81" s="20"/>
      <c r="CC81" s="15"/>
      <c r="CD81" s="15"/>
      <c r="CE81" s="15"/>
      <c r="CF81" s="15"/>
      <c r="CG81" s="44"/>
    </row>
    <row r="82" spans="1:85" ht="106.5" customHeight="1">
      <c r="A82" s="608" t="s">
        <v>242</v>
      </c>
      <c r="B82" s="631" t="s">
        <v>243</v>
      </c>
      <c r="C82" s="632" t="s">
        <v>244</v>
      </c>
      <c r="D82" s="585" t="s">
        <v>185</v>
      </c>
      <c r="E82" s="633" t="s">
        <v>245</v>
      </c>
      <c r="G82" s="16"/>
      <c r="H82" s="48"/>
      <c r="K82" s="43"/>
      <c r="L82" s="15"/>
      <c r="M82" s="15"/>
      <c r="N82" s="15"/>
      <c r="O82" s="15"/>
      <c r="P82" s="22"/>
      <c r="U82" s="43"/>
      <c r="V82" s="15"/>
      <c r="W82" s="15"/>
      <c r="X82" s="15"/>
      <c r="Y82" s="34"/>
      <c r="Z82" s="65"/>
      <c r="AA82" s="16"/>
      <c r="AB82" s="16"/>
      <c r="AC82" s="16"/>
      <c r="AD82" s="16"/>
      <c r="AE82" s="43"/>
      <c r="AF82" s="15"/>
      <c r="AG82" s="15"/>
      <c r="AH82" s="15"/>
      <c r="AI82" s="11"/>
      <c r="AJ82" s="22"/>
      <c r="AO82" s="43"/>
      <c r="AP82" s="15"/>
      <c r="AQ82" s="15"/>
      <c r="AR82" s="15"/>
      <c r="AS82" s="44"/>
      <c r="AY82" s="43"/>
      <c r="AZ82" s="15"/>
      <c r="BA82" s="15"/>
      <c r="BB82" s="15"/>
      <c r="BC82" s="44"/>
      <c r="BH82" s="20"/>
      <c r="BI82" s="15"/>
      <c r="BJ82" s="15"/>
      <c r="BK82" s="15"/>
      <c r="BL82" s="15"/>
      <c r="BM82" s="44"/>
      <c r="BR82" s="20"/>
      <c r="BS82" s="15"/>
      <c r="BT82" s="15"/>
      <c r="BU82" s="52"/>
      <c r="BV82" s="15"/>
      <c r="BW82" s="44"/>
      <c r="BX82" s="22"/>
      <c r="CB82" s="20"/>
      <c r="CC82" s="15"/>
      <c r="CD82" s="15"/>
      <c r="CE82" s="15"/>
      <c r="CF82" s="15"/>
      <c r="CG82" s="44"/>
    </row>
    <row r="83" spans="1:85" ht="32.25">
      <c r="A83" s="732" t="s">
        <v>246</v>
      </c>
      <c r="B83" s="733" t="s">
        <v>247</v>
      </c>
      <c r="C83" s="734" t="s">
        <v>248</v>
      </c>
      <c r="D83" s="735"/>
      <c r="E83" s="735"/>
      <c r="F83" s="66"/>
      <c r="G83" s="809"/>
      <c r="H83" s="809"/>
      <c r="I83" s="809"/>
      <c r="J83" s="809"/>
      <c r="K83" s="69"/>
      <c r="L83" s="827"/>
      <c r="M83" s="827"/>
      <c r="N83" s="827"/>
      <c r="O83" s="827"/>
      <c r="P83" s="66"/>
      <c r="Q83" s="7"/>
      <c r="R83" s="809"/>
      <c r="S83" s="809"/>
      <c r="T83" s="809"/>
      <c r="U83" s="828"/>
      <c r="V83" s="827"/>
      <c r="W83" s="34"/>
      <c r="X83" s="34"/>
      <c r="Y83" s="34"/>
      <c r="Z83" s="66"/>
      <c r="AA83" s="7"/>
      <c r="AB83" s="7"/>
      <c r="AC83" s="7"/>
      <c r="AD83" s="7"/>
      <c r="AE83" s="828"/>
      <c r="AF83" s="827"/>
      <c r="AG83" s="34"/>
      <c r="AH83" s="34"/>
      <c r="AI83" s="11" t="s">
        <v>53</v>
      </c>
      <c r="AJ83" s="829"/>
      <c r="AK83" s="809"/>
      <c r="AL83" s="7"/>
      <c r="AM83" s="7"/>
      <c r="AN83" s="809"/>
      <c r="AO83" s="828"/>
      <c r="AP83" s="827"/>
      <c r="AQ83" s="34"/>
      <c r="AR83" s="34"/>
      <c r="AS83" s="830"/>
      <c r="AU83" s="809"/>
      <c r="AV83" s="7"/>
      <c r="AW83" s="7"/>
      <c r="AY83" s="43"/>
      <c r="AZ83" s="827"/>
      <c r="BA83" s="34"/>
      <c r="BB83" s="34"/>
      <c r="BC83" s="44"/>
      <c r="BE83" s="809"/>
      <c r="BF83" s="7"/>
      <c r="BG83" s="7"/>
      <c r="BH83" s="831"/>
      <c r="BI83" s="827"/>
      <c r="BJ83" s="827"/>
      <c r="BK83" s="34"/>
      <c r="BL83" s="34"/>
      <c r="BM83" s="830"/>
      <c r="BN83" s="809"/>
      <c r="BO83" s="809"/>
      <c r="BP83" s="7"/>
      <c r="BQ83" s="7"/>
      <c r="BR83" s="831"/>
      <c r="BS83" s="827"/>
      <c r="BT83" s="827"/>
      <c r="BU83" s="53" t="s">
        <v>54</v>
      </c>
      <c r="BV83" s="34"/>
      <c r="BW83" s="830"/>
      <c r="BX83" s="829"/>
      <c r="BY83" s="809"/>
      <c r="BZ83" s="7"/>
      <c r="CA83" s="7"/>
      <c r="CB83" s="49"/>
      <c r="CC83" s="827"/>
      <c r="CD83" s="827"/>
      <c r="CE83" s="827"/>
      <c r="CF83" s="827"/>
      <c r="CG83" s="830"/>
    </row>
    <row r="84" spans="1:85" ht="30.75">
      <c r="A84" s="154" t="s">
        <v>249</v>
      </c>
      <c r="B84" s="627" t="s">
        <v>250</v>
      </c>
      <c r="C84" s="618" t="s">
        <v>251</v>
      </c>
      <c r="D84" s="601" t="s">
        <v>252</v>
      </c>
      <c r="E84" s="628"/>
      <c r="F84" s="809"/>
      <c r="G84" s="7"/>
      <c r="H84" s="47"/>
      <c r="I84" s="809"/>
      <c r="J84" s="809"/>
      <c r="K84" s="829"/>
      <c r="L84" s="809"/>
      <c r="M84" s="809"/>
      <c r="N84" s="809"/>
      <c r="O84" s="809"/>
      <c r="P84" s="829"/>
      <c r="Q84" s="809"/>
      <c r="R84" s="809"/>
      <c r="S84" s="809"/>
      <c r="T84" s="809"/>
      <c r="U84" s="829"/>
      <c r="V84" s="809"/>
      <c r="W84" s="809"/>
      <c r="X84" s="809"/>
      <c r="Y84" s="7"/>
      <c r="Z84" s="66"/>
      <c r="AA84" s="7"/>
      <c r="AB84" s="7"/>
      <c r="AC84" s="7"/>
      <c r="AD84" s="7"/>
      <c r="AE84" s="829"/>
      <c r="AF84" s="809"/>
      <c r="AG84" s="809"/>
      <c r="AH84" s="809"/>
      <c r="AI84" s="410" t="s">
        <v>53</v>
      </c>
      <c r="AJ84" s="829"/>
      <c r="AK84" s="809"/>
      <c r="AL84" s="809"/>
      <c r="AM84" s="809"/>
      <c r="AN84" s="809"/>
      <c r="AO84" s="829"/>
      <c r="AP84" s="809"/>
      <c r="AQ84" s="809"/>
      <c r="AR84" s="809"/>
      <c r="AS84" s="831"/>
      <c r="AU84" s="809"/>
      <c r="AV84" s="809"/>
      <c r="AW84" s="809"/>
      <c r="AY84" s="22"/>
      <c r="AZ84" s="809"/>
      <c r="BA84" s="809"/>
      <c r="BB84" s="809"/>
      <c r="BC84" s="20"/>
      <c r="BE84" s="809"/>
      <c r="BF84" s="809"/>
      <c r="BG84" s="809"/>
      <c r="BH84" s="831"/>
      <c r="BI84" s="809"/>
      <c r="BJ84" s="809"/>
      <c r="BK84" s="809"/>
      <c r="BL84" s="809"/>
      <c r="BM84" s="831"/>
      <c r="BN84" s="809"/>
      <c r="BO84" s="809"/>
      <c r="BP84" s="809"/>
      <c r="BQ84" s="809"/>
      <c r="BR84" s="831"/>
      <c r="BS84" s="809"/>
      <c r="BT84" s="809"/>
      <c r="BU84" s="604" t="s">
        <v>54</v>
      </c>
      <c r="BV84" s="809"/>
      <c r="BW84" s="831"/>
      <c r="BX84" s="829"/>
      <c r="BY84" s="809"/>
      <c r="BZ84" s="809"/>
      <c r="CA84" s="809"/>
      <c r="CB84" s="831"/>
      <c r="CC84" s="809"/>
      <c r="CD84" s="809"/>
      <c r="CE84" s="809"/>
      <c r="CF84" s="809"/>
      <c r="CG84" s="831"/>
    </row>
    <row r="85" spans="1:85">
      <c r="A85" s="671" t="s">
        <v>253</v>
      </c>
      <c r="B85" s="115" t="s">
        <v>250</v>
      </c>
      <c r="C85" s="845"/>
      <c r="D85" s="853"/>
      <c r="E85" s="853"/>
      <c r="F85" s="66"/>
      <c r="G85" s="809"/>
      <c r="H85" s="809"/>
      <c r="I85" s="809"/>
      <c r="J85" s="809"/>
      <c r="K85" s="69"/>
      <c r="L85" s="827"/>
      <c r="M85" s="827"/>
      <c r="N85" s="827"/>
      <c r="O85" s="827"/>
      <c r="P85" s="66"/>
      <c r="Q85" s="7"/>
      <c r="R85" s="809"/>
      <c r="S85" s="809"/>
      <c r="T85" s="809"/>
      <c r="U85" s="828"/>
      <c r="V85" s="827"/>
      <c r="W85" s="34"/>
      <c r="X85" s="34"/>
      <c r="Y85" s="34"/>
      <c r="Z85" s="66"/>
      <c r="AA85" s="7"/>
      <c r="AB85" s="7"/>
      <c r="AC85" s="7"/>
      <c r="AD85" s="7"/>
      <c r="AE85" s="828"/>
      <c r="AF85" s="827"/>
      <c r="AG85" s="34"/>
      <c r="AH85" s="34"/>
      <c r="AI85" s="11"/>
      <c r="AJ85" s="829"/>
      <c r="AK85" s="809"/>
      <c r="AL85" s="7"/>
      <c r="AM85" s="7"/>
      <c r="AN85" s="809"/>
      <c r="AO85" s="828"/>
      <c r="AP85" s="827"/>
      <c r="AQ85" s="34"/>
      <c r="AR85" s="34"/>
      <c r="AS85" s="830"/>
      <c r="AU85" s="809"/>
      <c r="AV85" s="7"/>
      <c r="AW85" s="7"/>
      <c r="AY85" s="43"/>
      <c r="AZ85" s="827"/>
      <c r="BA85" s="34"/>
      <c r="BB85" s="34"/>
      <c r="BC85" s="44"/>
      <c r="BE85" s="809"/>
      <c r="BF85" s="7"/>
      <c r="BG85" s="7"/>
      <c r="BH85" s="831"/>
      <c r="BI85" s="827"/>
      <c r="BJ85" s="827"/>
      <c r="BK85" s="34"/>
      <c r="BL85" s="34"/>
      <c r="BM85" s="830"/>
      <c r="BN85" s="809"/>
      <c r="BO85" s="809"/>
      <c r="BP85" s="7"/>
      <c r="BQ85" s="7"/>
      <c r="BR85" s="831"/>
      <c r="BS85" s="827"/>
      <c r="BT85" s="827"/>
      <c r="BU85" s="53"/>
      <c r="BV85" s="34"/>
      <c r="BW85" s="830"/>
      <c r="BX85" s="829"/>
      <c r="BY85" s="809"/>
      <c r="BZ85" s="7"/>
      <c r="CA85" s="7"/>
      <c r="CB85" s="49"/>
      <c r="CC85" s="827"/>
      <c r="CD85" s="827"/>
      <c r="CE85" s="827"/>
      <c r="CF85" s="827"/>
      <c r="CG85" s="830"/>
    </row>
    <row r="86" spans="1:85">
      <c r="A86" s="630" t="s">
        <v>254</v>
      </c>
      <c r="B86" s="36" t="s">
        <v>250</v>
      </c>
      <c r="C86" s="870"/>
      <c r="D86" s="871"/>
      <c r="E86" s="871" t="s">
        <v>95</v>
      </c>
      <c r="F86" s="66"/>
      <c r="G86" s="809"/>
      <c r="H86" s="809"/>
      <c r="I86" s="809"/>
      <c r="J86" s="809"/>
      <c r="K86" s="69"/>
      <c r="L86" s="827"/>
      <c r="M86" s="827"/>
      <c r="N86" s="827"/>
      <c r="O86" s="827"/>
      <c r="P86" s="66"/>
      <c r="Q86" s="7"/>
      <c r="R86" s="809"/>
      <c r="S86" s="809"/>
      <c r="T86" s="809"/>
      <c r="U86" s="828"/>
      <c r="V86" s="827"/>
      <c r="W86" s="34"/>
      <c r="X86" s="34"/>
      <c r="Y86" s="34"/>
      <c r="Z86" s="66"/>
      <c r="AA86" s="7"/>
      <c r="AB86" s="7"/>
      <c r="AC86" s="7"/>
      <c r="AD86" s="7"/>
      <c r="AE86" s="828"/>
      <c r="AF86" s="827"/>
      <c r="AG86" s="34"/>
      <c r="AH86" s="34"/>
      <c r="AI86" s="11"/>
      <c r="AJ86" s="829"/>
      <c r="AK86" s="809"/>
      <c r="AL86" s="7"/>
      <c r="AM86" s="7"/>
      <c r="AN86" s="809"/>
      <c r="AO86" s="828"/>
      <c r="AP86" s="827"/>
      <c r="AQ86" s="34"/>
      <c r="AR86" s="34"/>
      <c r="AS86" s="830"/>
      <c r="AU86" s="809"/>
      <c r="AV86" s="7"/>
      <c r="AW86" s="7"/>
      <c r="AY86" s="43"/>
      <c r="AZ86" s="827"/>
      <c r="BA86" s="34"/>
      <c r="BB86" s="34"/>
      <c r="BC86" s="44"/>
      <c r="BE86" s="809"/>
      <c r="BF86" s="7"/>
      <c r="BG86" s="7"/>
      <c r="BH86" s="831"/>
      <c r="BI86" s="827"/>
      <c r="BJ86" s="827"/>
      <c r="BK86" s="34"/>
      <c r="BL86" s="34"/>
      <c r="BM86" s="830"/>
      <c r="BN86" s="809"/>
      <c r="BO86" s="809"/>
      <c r="BP86" s="7"/>
      <c r="BQ86" s="7"/>
      <c r="BR86" s="831"/>
      <c r="BS86" s="827"/>
      <c r="BT86" s="827"/>
      <c r="BU86" s="53"/>
      <c r="BV86" s="34"/>
      <c r="BW86" s="830"/>
      <c r="BX86" s="829"/>
      <c r="BY86" s="809"/>
      <c r="BZ86" s="7"/>
      <c r="CA86" s="7"/>
      <c r="CB86" s="49"/>
      <c r="CC86" s="827"/>
      <c r="CD86" s="827"/>
      <c r="CE86" s="827"/>
      <c r="CF86" s="827"/>
      <c r="CG86" s="830"/>
    </row>
    <row r="87" spans="1:85">
      <c r="A87" s="630" t="s">
        <v>255</v>
      </c>
      <c r="B87" s="36" t="s">
        <v>250</v>
      </c>
      <c r="C87" s="870"/>
      <c r="D87" s="871"/>
      <c r="E87" s="871"/>
      <c r="F87" s="66"/>
      <c r="G87" s="809"/>
      <c r="H87" s="809"/>
      <c r="I87" s="809"/>
      <c r="J87" s="809"/>
      <c r="K87" s="69"/>
      <c r="L87" s="827"/>
      <c r="M87" s="827"/>
      <c r="N87" s="827"/>
      <c r="O87" s="827"/>
      <c r="P87" s="66"/>
      <c r="Q87" s="7"/>
      <c r="R87" s="809"/>
      <c r="S87" s="809"/>
      <c r="T87" s="809"/>
      <c r="U87" s="828"/>
      <c r="V87" s="827"/>
      <c r="W87" s="34"/>
      <c r="X87" s="34"/>
      <c r="Y87" s="34"/>
      <c r="Z87" s="66"/>
      <c r="AA87" s="7"/>
      <c r="AB87" s="7"/>
      <c r="AC87" s="7"/>
      <c r="AD87" s="7"/>
      <c r="AE87" s="828"/>
      <c r="AF87" s="827"/>
      <c r="AG87" s="34"/>
      <c r="AH87" s="34"/>
      <c r="AI87" s="11"/>
      <c r="AJ87" s="829"/>
      <c r="AK87" s="809"/>
      <c r="AL87" s="7"/>
      <c r="AM87" s="7"/>
      <c r="AN87" s="809"/>
      <c r="AO87" s="828"/>
      <c r="AP87" s="827"/>
      <c r="AQ87" s="34"/>
      <c r="AR87" s="34"/>
      <c r="AS87" s="830"/>
      <c r="AU87" s="809"/>
      <c r="AV87" s="7"/>
      <c r="AW87" s="7"/>
      <c r="AY87" s="43"/>
      <c r="AZ87" s="827"/>
      <c r="BA87" s="34"/>
      <c r="BB87" s="34"/>
      <c r="BC87" s="44"/>
      <c r="BE87" s="809"/>
      <c r="BF87" s="7"/>
      <c r="BG87" s="7"/>
      <c r="BH87" s="831"/>
      <c r="BI87" s="827"/>
      <c r="BJ87" s="827"/>
      <c r="BK87" s="34"/>
      <c r="BL87" s="34"/>
      <c r="BM87" s="830"/>
      <c r="BN87" s="809"/>
      <c r="BO87" s="809"/>
      <c r="BP87" s="7"/>
      <c r="BQ87" s="7"/>
      <c r="BR87" s="831"/>
      <c r="BS87" s="827"/>
      <c r="BT87" s="827"/>
      <c r="BU87" s="53"/>
      <c r="BV87" s="34"/>
      <c r="BW87" s="830"/>
      <c r="BX87" s="829"/>
      <c r="BY87" s="809"/>
      <c r="BZ87" s="7"/>
      <c r="CA87" s="7"/>
      <c r="CB87" s="49"/>
      <c r="CC87" s="827"/>
      <c r="CD87" s="827"/>
      <c r="CE87" s="827"/>
      <c r="CF87" s="827"/>
      <c r="CG87" s="830"/>
    </row>
    <row r="88" spans="1:85">
      <c r="A88" s="630" t="s">
        <v>256</v>
      </c>
      <c r="B88" s="36" t="s">
        <v>250</v>
      </c>
      <c r="C88" s="870"/>
      <c r="D88" s="871"/>
      <c r="E88" s="871"/>
      <c r="F88" s="66"/>
      <c r="G88" s="809"/>
      <c r="H88" s="809"/>
      <c r="I88" s="809"/>
      <c r="J88" s="809"/>
      <c r="K88" s="69"/>
      <c r="L88" s="827"/>
      <c r="M88" s="827"/>
      <c r="N88" s="827"/>
      <c r="O88" s="827"/>
      <c r="P88" s="66"/>
      <c r="Q88" s="7"/>
      <c r="R88" s="809"/>
      <c r="S88" s="809"/>
      <c r="T88" s="809"/>
      <c r="U88" s="828"/>
      <c r="V88" s="827"/>
      <c r="W88" s="34"/>
      <c r="X88" s="34"/>
      <c r="Y88" s="34"/>
      <c r="Z88" s="66"/>
      <c r="AA88" s="7"/>
      <c r="AB88" s="7"/>
      <c r="AC88" s="7"/>
      <c r="AD88" s="7"/>
      <c r="AE88" s="828"/>
      <c r="AF88" s="827"/>
      <c r="AG88" s="34"/>
      <c r="AH88" s="34"/>
      <c r="AI88" s="11"/>
      <c r="AJ88" s="829"/>
      <c r="AK88" s="809"/>
      <c r="AL88" s="7"/>
      <c r="AM88" s="7"/>
      <c r="AN88" s="809"/>
      <c r="AO88" s="828"/>
      <c r="AP88" s="827"/>
      <c r="AQ88" s="34"/>
      <c r="AR88" s="34"/>
      <c r="AS88" s="830"/>
      <c r="AU88" s="809"/>
      <c r="AV88" s="7"/>
      <c r="AW88" s="7"/>
      <c r="AY88" s="43"/>
      <c r="AZ88" s="827"/>
      <c r="BA88" s="34"/>
      <c r="BB88" s="34"/>
      <c r="BC88" s="44"/>
      <c r="BE88" s="809"/>
      <c r="BF88" s="7"/>
      <c r="BG88" s="7"/>
      <c r="BH88" s="831"/>
      <c r="BI88" s="827"/>
      <c r="BJ88" s="827"/>
      <c r="BK88" s="34"/>
      <c r="BL88" s="34"/>
      <c r="BM88" s="830"/>
      <c r="BN88" s="809"/>
      <c r="BO88" s="809"/>
      <c r="BP88" s="7"/>
      <c r="BQ88" s="7"/>
      <c r="BR88" s="831"/>
      <c r="BS88" s="827"/>
      <c r="BT88" s="827"/>
      <c r="BU88" s="53"/>
      <c r="BV88" s="34"/>
      <c r="BW88" s="830"/>
      <c r="BX88" s="829"/>
      <c r="BY88" s="809"/>
      <c r="BZ88" s="7"/>
      <c r="CA88" s="7"/>
      <c r="CB88" s="49"/>
      <c r="CC88" s="827"/>
      <c r="CD88" s="827"/>
      <c r="CE88" s="827"/>
      <c r="CF88" s="827"/>
      <c r="CG88" s="830"/>
    </row>
    <row r="89" spans="1:85" ht="21.75" customHeight="1">
      <c r="A89" s="30" t="s">
        <v>257</v>
      </c>
      <c r="B89" s="36" t="s">
        <v>250</v>
      </c>
      <c r="C89" s="108"/>
      <c r="D89" s="113"/>
      <c r="E89" s="113"/>
      <c r="F89" s="829"/>
      <c r="G89" s="7"/>
      <c r="H89" s="47"/>
      <c r="I89" s="809"/>
      <c r="J89" s="809"/>
      <c r="K89" s="828"/>
      <c r="L89" s="827"/>
      <c r="M89" s="827"/>
      <c r="N89" s="827"/>
      <c r="O89" s="827"/>
      <c r="P89" s="829"/>
      <c r="Q89" s="809"/>
      <c r="R89" s="809"/>
      <c r="S89" s="809"/>
      <c r="T89" s="809"/>
      <c r="U89" s="828"/>
      <c r="V89" s="827"/>
      <c r="W89" s="827"/>
      <c r="X89" s="827"/>
      <c r="Y89" s="34"/>
      <c r="Z89" s="66"/>
      <c r="AA89" s="7"/>
      <c r="AB89" s="7"/>
      <c r="AC89" s="7"/>
      <c r="AD89" s="7"/>
      <c r="AE89" s="828"/>
      <c r="AF89" s="827"/>
      <c r="AG89" s="827"/>
      <c r="AH89" s="827"/>
      <c r="AI89" s="11" t="s">
        <v>53</v>
      </c>
      <c r="AJ89" s="829"/>
      <c r="AK89" s="809"/>
      <c r="AL89" s="809"/>
      <c r="AM89" s="809"/>
      <c r="AN89" s="809"/>
      <c r="AO89" s="828"/>
      <c r="AP89" s="827"/>
      <c r="AQ89" s="827"/>
      <c r="AR89" s="827"/>
      <c r="AS89" s="830"/>
      <c r="AU89" s="809"/>
      <c r="AV89" s="809"/>
      <c r="AW89" s="809"/>
      <c r="AY89" s="43"/>
      <c r="AZ89" s="827"/>
      <c r="BA89" s="827"/>
      <c r="BB89" s="827"/>
      <c r="BC89" s="44"/>
      <c r="BE89" s="809"/>
      <c r="BF89" s="809"/>
      <c r="BG89" s="809"/>
      <c r="BH89" s="831"/>
      <c r="BI89" s="827"/>
      <c r="BJ89" s="827"/>
      <c r="BK89" s="827"/>
      <c r="BL89" s="827"/>
      <c r="BM89" s="830"/>
      <c r="BN89" s="809"/>
      <c r="BO89" s="809"/>
      <c r="BP89" s="809"/>
      <c r="BQ89" s="809"/>
      <c r="BR89" s="831"/>
      <c r="BS89" s="827"/>
      <c r="BT89" s="827"/>
      <c r="BU89" s="52" t="s">
        <v>54</v>
      </c>
      <c r="BV89" s="827"/>
      <c r="BW89" s="830"/>
      <c r="BX89" s="829"/>
      <c r="BY89" s="809"/>
      <c r="BZ89" s="809"/>
      <c r="CA89" s="809"/>
      <c r="CB89" s="831"/>
      <c r="CC89" s="827"/>
      <c r="CD89" s="827"/>
      <c r="CE89" s="827"/>
      <c r="CF89" s="827"/>
      <c r="CG89" s="830"/>
    </row>
    <row r="90" spans="1:85" ht="31.5">
      <c r="A90" s="31" t="s">
        <v>258</v>
      </c>
      <c r="B90" s="35"/>
      <c r="C90" s="109"/>
      <c r="D90" s="114"/>
      <c r="E90" s="114"/>
      <c r="F90" s="829"/>
      <c r="G90" s="7"/>
      <c r="H90" s="47"/>
      <c r="I90" s="809"/>
      <c r="J90" s="809"/>
      <c r="K90" s="828"/>
      <c r="L90" s="827"/>
      <c r="M90" s="827"/>
      <c r="N90" s="827"/>
      <c r="O90" s="827"/>
      <c r="P90" s="829"/>
      <c r="Q90" s="809"/>
      <c r="R90" s="809"/>
      <c r="S90" s="809"/>
      <c r="T90" s="809"/>
      <c r="U90" s="828"/>
      <c r="V90" s="827"/>
      <c r="W90" s="827"/>
      <c r="X90" s="827"/>
      <c r="Y90" s="34"/>
      <c r="Z90" s="66"/>
      <c r="AA90" s="7"/>
      <c r="AB90" s="7"/>
      <c r="AC90" s="7"/>
      <c r="AD90" s="7"/>
      <c r="AE90" s="828"/>
      <c r="AF90" s="827"/>
      <c r="AG90" s="827"/>
      <c r="AH90" s="827"/>
      <c r="AI90" s="11" t="s">
        <v>53</v>
      </c>
      <c r="AJ90" s="829"/>
      <c r="AK90" s="809"/>
      <c r="AL90" s="809"/>
      <c r="AM90" s="809"/>
      <c r="AN90" s="809"/>
      <c r="AO90" s="828"/>
      <c r="AP90" s="827"/>
      <c r="AQ90" s="827"/>
      <c r="AR90" s="827"/>
      <c r="AS90" s="830"/>
      <c r="AU90" s="809"/>
      <c r="AV90" s="809"/>
      <c r="AW90" s="809"/>
      <c r="AY90" s="43"/>
      <c r="AZ90" s="827"/>
      <c r="BA90" s="827"/>
      <c r="BB90" s="827"/>
      <c r="BC90" s="44"/>
      <c r="BE90" s="809"/>
      <c r="BF90" s="809"/>
      <c r="BG90" s="809"/>
      <c r="BH90" s="831"/>
      <c r="BI90" s="827"/>
      <c r="BJ90" s="827"/>
      <c r="BK90" s="827"/>
      <c r="BL90" s="827"/>
      <c r="BM90" s="830"/>
      <c r="BN90" s="809"/>
      <c r="BO90" s="809"/>
      <c r="BP90" s="809"/>
      <c r="BQ90" s="809"/>
      <c r="BR90" s="831"/>
      <c r="BS90" s="827"/>
      <c r="BT90" s="827"/>
      <c r="BU90" s="53" t="s">
        <v>54</v>
      </c>
      <c r="BV90" s="827"/>
      <c r="BW90" s="830"/>
      <c r="BX90" s="829"/>
      <c r="BY90" s="809"/>
      <c r="BZ90" s="809"/>
      <c r="CA90" s="809"/>
      <c r="CB90" s="831"/>
      <c r="CC90" s="827"/>
      <c r="CD90" s="827"/>
      <c r="CE90" s="827"/>
      <c r="CF90" s="827"/>
      <c r="CG90" s="830"/>
    </row>
    <row r="91" spans="1:85">
      <c r="A91" s="640" t="s">
        <v>259</v>
      </c>
      <c r="B91" s="641"/>
      <c r="C91" s="618" t="s">
        <v>260</v>
      </c>
      <c r="D91" s="642"/>
      <c r="E91" s="642" t="s">
        <v>221</v>
      </c>
      <c r="F91" s="66"/>
      <c r="G91" s="809"/>
      <c r="H91" s="809"/>
      <c r="I91" s="809"/>
      <c r="J91" s="809"/>
      <c r="K91" s="69"/>
      <c r="L91" s="827"/>
      <c r="M91" s="827"/>
      <c r="N91" s="827"/>
      <c r="O91" s="827"/>
      <c r="P91" s="66"/>
      <c r="Q91" s="7"/>
      <c r="R91" s="809"/>
      <c r="S91" s="809"/>
      <c r="T91" s="809"/>
      <c r="U91" s="828"/>
      <c r="V91" s="827"/>
      <c r="W91" s="34"/>
      <c r="X91" s="34"/>
      <c r="Y91" s="34"/>
      <c r="Z91" s="66"/>
      <c r="AA91" s="7"/>
      <c r="AB91" s="7"/>
      <c r="AC91" s="7"/>
      <c r="AD91" s="7"/>
      <c r="AE91" s="828"/>
      <c r="AF91" s="827"/>
      <c r="AG91" s="34"/>
      <c r="AH91" s="34"/>
      <c r="AI91" s="11"/>
      <c r="AJ91" s="829"/>
      <c r="AK91" s="809"/>
      <c r="AL91" s="7"/>
      <c r="AM91" s="7"/>
      <c r="AN91" s="809"/>
      <c r="AO91" s="828"/>
      <c r="AP91" s="827"/>
      <c r="AQ91" s="34"/>
      <c r="AR91" s="34"/>
      <c r="AS91" s="830"/>
      <c r="AU91" s="809"/>
      <c r="AV91" s="7"/>
      <c r="AW91" s="7"/>
      <c r="AY91" s="43"/>
      <c r="AZ91" s="827"/>
      <c r="BA91" s="34"/>
      <c r="BB91" s="34"/>
      <c r="BC91" s="44"/>
      <c r="BE91" s="809"/>
      <c r="BF91" s="7"/>
      <c r="BG91" s="7"/>
      <c r="BH91" s="831"/>
      <c r="BI91" s="827"/>
      <c r="BJ91" s="827"/>
      <c r="BK91" s="34"/>
      <c r="BL91" s="34"/>
      <c r="BM91" s="830"/>
      <c r="BN91" s="809"/>
      <c r="BO91" s="809"/>
      <c r="BP91" s="7"/>
      <c r="BQ91" s="7"/>
      <c r="BR91" s="831"/>
      <c r="BS91" s="827"/>
      <c r="BT91" s="827"/>
      <c r="BU91" s="52"/>
      <c r="BV91" s="34"/>
      <c r="BW91" s="830"/>
      <c r="BX91" s="829"/>
      <c r="BY91" s="809"/>
      <c r="BZ91" s="7"/>
      <c r="CA91" s="7"/>
      <c r="CB91" s="49"/>
      <c r="CC91" s="827"/>
      <c r="CD91" s="827"/>
      <c r="CE91" s="827"/>
      <c r="CF91" s="827"/>
      <c r="CG91" s="830"/>
    </row>
    <row r="92" spans="1:85">
      <c r="A92" s="640" t="s">
        <v>261</v>
      </c>
      <c r="B92" s="872"/>
      <c r="C92" s="618" t="s">
        <v>262</v>
      </c>
      <c r="D92" s="873"/>
      <c r="E92" s="873" t="s">
        <v>263</v>
      </c>
      <c r="F92" s="66"/>
      <c r="G92" s="809"/>
      <c r="H92" s="809"/>
      <c r="I92" s="809"/>
      <c r="J92" s="809"/>
      <c r="K92" s="69"/>
      <c r="L92" s="827"/>
      <c r="M92" s="827"/>
      <c r="N92" s="827"/>
      <c r="O92" s="827"/>
      <c r="P92" s="66"/>
      <c r="Q92" s="7"/>
      <c r="R92" s="809"/>
      <c r="S92" s="809"/>
      <c r="T92" s="809"/>
      <c r="U92" s="828"/>
      <c r="V92" s="827"/>
      <c r="W92" s="34"/>
      <c r="X92" s="34"/>
      <c r="Y92" s="34"/>
      <c r="Z92" s="66"/>
      <c r="AA92" s="7"/>
      <c r="AB92" s="7"/>
      <c r="AC92" s="7"/>
      <c r="AD92" s="7"/>
      <c r="AE92" s="828"/>
      <c r="AF92" s="827"/>
      <c r="AG92" s="34"/>
      <c r="AH92" s="34"/>
      <c r="AI92" s="11"/>
      <c r="AJ92" s="829"/>
      <c r="AK92" s="809"/>
      <c r="AL92" s="7"/>
      <c r="AM92" s="7"/>
      <c r="AN92" s="809"/>
      <c r="AO92" s="828"/>
      <c r="AP92" s="827"/>
      <c r="AQ92" s="34"/>
      <c r="AR92" s="34"/>
      <c r="AS92" s="830"/>
      <c r="AU92" s="809"/>
      <c r="AV92" s="7"/>
      <c r="AW92" s="7"/>
      <c r="AY92" s="43"/>
      <c r="AZ92" s="827"/>
      <c r="BA92" s="34"/>
      <c r="BB92" s="34"/>
      <c r="BC92" s="44"/>
      <c r="BE92" s="809"/>
      <c r="BF92" s="7"/>
      <c r="BG92" s="7"/>
      <c r="BH92" s="831"/>
      <c r="BI92" s="827"/>
      <c r="BJ92" s="827"/>
      <c r="BK92" s="34"/>
      <c r="BL92" s="34"/>
      <c r="BM92" s="830"/>
      <c r="BN92" s="809"/>
      <c r="BO92" s="809"/>
      <c r="BP92" s="7"/>
      <c r="BQ92" s="7"/>
      <c r="BR92" s="831"/>
      <c r="BS92" s="827"/>
      <c r="BT92" s="827"/>
      <c r="BU92" s="52"/>
      <c r="BV92" s="34"/>
      <c r="BW92" s="830"/>
      <c r="BX92" s="829"/>
      <c r="BY92" s="809"/>
      <c r="BZ92" s="7"/>
      <c r="CA92" s="7"/>
      <c r="CB92" s="49"/>
      <c r="CC92" s="827"/>
      <c r="CD92" s="827"/>
      <c r="CE92" s="827"/>
      <c r="CF92" s="827"/>
      <c r="CG92" s="830"/>
    </row>
    <row r="93" spans="1:85">
      <c r="A93" s="640" t="s">
        <v>264</v>
      </c>
      <c r="B93" s="872" t="s">
        <v>265</v>
      </c>
      <c r="C93" s="618" t="s">
        <v>266</v>
      </c>
      <c r="D93" s="873"/>
      <c r="E93" s="873" t="s">
        <v>267</v>
      </c>
      <c r="F93" s="66"/>
      <c r="G93" s="809"/>
      <c r="H93" s="809"/>
      <c r="I93" s="809"/>
      <c r="J93" s="809"/>
      <c r="K93" s="69"/>
      <c r="L93" s="827"/>
      <c r="M93" s="827"/>
      <c r="N93" s="827"/>
      <c r="O93" s="827"/>
      <c r="P93" s="66"/>
      <c r="Q93" s="7"/>
      <c r="R93" s="809"/>
      <c r="S93" s="809"/>
      <c r="T93" s="809"/>
      <c r="U93" s="828"/>
      <c r="V93" s="827"/>
      <c r="W93" s="34"/>
      <c r="X93" s="34"/>
      <c r="Y93" s="34"/>
      <c r="Z93" s="66"/>
      <c r="AA93" s="7"/>
      <c r="AB93" s="7"/>
      <c r="AC93" s="7"/>
      <c r="AD93" s="7"/>
      <c r="AE93" s="828"/>
      <c r="AF93" s="827"/>
      <c r="AG93" s="34"/>
      <c r="AH93" s="34"/>
      <c r="AI93" s="11"/>
      <c r="AJ93" s="829"/>
      <c r="AK93" s="809"/>
      <c r="AL93" s="7"/>
      <c r="AM93" s="7"/>
      <c r="AN93" s="809"/>
      <c r="AO93" s="828"/>
      <c r="AP93" s="827"/>
      <c r="AQ93" s="34"/>
      <c r="AR93" s="34"/>
      <c r="AS93" s="830"/>
      <c r="AU93" s="809"/>
      <c r="AV93" s="7"/>
      <c r="AW93" s="7"/>
      <c r="AY93" s="43"/>
      <c r="AZ93" s="827"/>
      <c r="BA93" s="34"/>
      <c r="BB93" s="34"/>
      <c r="BC93" s="44"/>
      <c r="BE93" s="809"/>
      <c r="BF93" s="7"/>
      <c r="BG93" s="7"/>
      <c r="BH93" s="831"/>
      <c r="BI93" s="827"/>
      <c r="BJ93" s="827"/>
      <c r="BK93" s="34"/>
      <c r="BL93" s="34"/>
      <c r="BM93" s="830"/>
      <c r="BN93" s="809"/>
      <c r="BO93" s="809"/>
      <c r="BP93" s="7"/>
      <c r="BQ93" s="7"/>
      <c r="BR93" s="831"/>
      <c r="BS93" s="827"/>
      <c r="BT93" s="827"/>
      <c r="BU93" s="52"/>
      <c r="BV93" s="34"/>
      <c r="BW93" s="830"/>
      <c r="BX93" s="829"/>
      <c r="BY93" s="809"/>
      <c r="BZ93" s="7"/>
      <c r="CA93" s="7"/>
      <c r="CB93" s="49"/>
      <c r="CC93" s="827"/>
      <c r="CD93" s="827"/>
      <c r="CE93" s="827"/>
      <c r="CF93" s="827"/>
      <c r="CG93" s="830"/>
    </row>
    <row r="94" spans="1:85" ht="30.75">
      <c r="A94" s="651" t="s">
        <v>268</v>
      </c>
      <c r="B94" s="874" t="s">
        <v>269</v>
      </c>
      <c r="C94" s="133" t="s">
        <v>270</v>
      </c>
      <c r="D94" s="652"/>
      <c r="E94" s="473" t="s">
        <v>267</v>
      </c>
      <c r="F94" s="16"/>
      <c r="K94" s="69"/>
      <c r="L94" s="827"/>
      <c r="M94" s="827"/>
      <c r="N94" s="827"/>
      <c r="O94" s="827"/>
      <c r="P94" s="66"/>
      <c r="Q94" s="7"/>
      <c r="R94" s="809"/>
      <c r="S94" s="809"/>
      <c r="T94" s="809"/>
      <c r="U94" s="828"/>
      <c r="V94" s="827"/>
      <c r="W94" s="34"/>
      <c r="X94" s="34"/>
      <c r="Y94" s="34"/>
      <c r="Z94" s="66"/>
      <c r="AA94" s="7"/>
      <c r="AB94" s="7"/>
      <c r="AC94" s="7"/>
      <c r="AD94" s="7"/>
      <c r="AE94" s="828"/>
      <c r="AF94" s="827"/>
      <c r="AG94" s="34"/>
      <c r="AH94" s="34"/>
      <c r="AI94" s="11" t="s">
        <v>53</v>
      </c>
      <c r="AJ94" s="829"/>
      <c r="AK94" s="809"/>
      <c r="AL94" s="7"/>
      <c r="AM94" s="7"/>
      <c r="AN94" s="809"/>
      <c r="AO94" s="828"/>
      <c r="AP94" s="827"/>
      <c r="AQ94" s="34"/>
      <c r="AR94" s="34"/>
      <c r="AS94" s="830"/>
      <c r="AU94" s="809"/>
      <c r="AV94" s="7"/>
      <c r="AW94" s="7"/>
      <c r="AY94" s="43"/>
      <c r="AZ94" s="827"/>
      <c r="BA94" s="34"/>
      <c r="BB94" s="34"/>
      <c r="BC94" s="44"/>
      <c r="BE94" s="809"/>
      <c r="BF94" s="7"/>
      <c r="BG94" s="7"/>
      <c r="BH94" s="831"/>
      <c r="BI94" s="827"/>
      <c r="BJ94" s="827"/>
      <c r="BK94" s="34"/>
      <c r="BL94" s="34"/>
      <c r="BM94" s="830"/>
      <c r="BN94" s="809"/>
      <c r="BO94" s="809"/>
      <c r="BP94" s="7"/>
      <c r="BQ94" s="7"/>
      <c r="BR94" s="831"/>
      <c r="BS94" s="827"/>
      <c r="BT94" s="827"/>
      <c r="BU94" s="53" t="s">
        <v>54</v>
      </c>
      <c r="BV94" s="34"/>
      <c r="BW94" s="830"/>
      <c r="BX94" s="829"/>
      <c r="BY94" s="809"/>
      <c r="BZ94" s="7"/>
      <c r="CA94" s="7"/>
      <c r="CB94" s="49"/>
      <c r="CC94" s="827"/>
      <c r="CD94" s="827"/>
      <c r="CE94" s="827"/>
      <c r="CF94" s="827"/>
      <c r="CG94" s="830"/>
    </row>
    <row r="95" spans="1:85">
      <c r="A95" s="739" t="s">
        <v>271</v>
      </c>
      <c r="B95" s="875" t="s">
        <v>265</v>
      </c>
      <c r="C95" s="849" t="s">
        <v>272</v>
      </c>
      <c r="D95" s="876"/>
      <c r="E95" s="473" t="s">
        <v>267</v>
      </c>
      <c r="F95" s="66"/>
      <c r="G95" s="809"/>
      <c r="H95" s="809"/>
      <c r="I95" s="809"/>
      <c r="J95" s="809"/>
      <c r="K95" s="69"/>
      <c r="L95" s="827"/>
      <c r="M95" s="827"/>
      <c r="N95" s="827"/>
      <c r="O95" s="827"/>
      <c r="P95" s="66"/>
      <c r="Q95" s="7"/>
      <c r="R95" s="809"/>
      <c r="S95" s="809"/>
      <c r="T95" s="809"/>
      <c r="U95" s="828"/>
      <c r="V95" s="827"/>
      <c r="W95" s="34"/>
      <c r="X95" s="34"/>
      <c r="Y95" s="34"/>
      <c r="Z95" s="66"/>
      <c r="AA95" s="7"/>
      <c r="AB95" s="7"/>
      <c r="AC95" s="7"/>
      <c r="AD95" s="7"/>
      <c r="AE95" s="828"/>
      <c r="AF95" s="827"/>
      <c r="AG95" s="34"/>
      <c r="AH95" s="34"/>
      <c r="AI95" s="11" t="s">
        <v>53</v>
      </c>
      <c r="AJ95" s="829"/>
      <c r="AK95" s="809"/>
      <c r="AL95" s="7"/>
      <c r="AM95" s="7"/>
      <c r="AN95" s="809"/>
      <c r="AO95" s="828"/>
      <c r="AP95" s="827"/>
      <c r="AQ95" s="34"/>
      <c r="AR95" s="34"/>
      <c r="AS95" s="830"/>
      <c r="AU95" s="809"/>
      <c r="AV95" s="7"/>
      <c r="AW95" s="7"/>
      <c r="AY95" s="43"/>
      <c r="AZ95" s="827"/>
      <c r="BA95" s="34"/>
      <c r="BB95" s="34"/>
      <c r="BC95" s="44"/>
      <c r="BE95" s="809"/>
      <c r="BF95" s="7"/>
      <c r="BG95" s="7"/>
      <c r="BH95" s="831"/>
      <c r="BI95" s="827"/>
      <c r="BJ95" s="827"/>
      <c r="BK95" s="34"/>
      <c r="BL95" s="34"/>
      <c r="BM95" s="830"/>
      <c r="BN95" s="809"/>
      <c r="BO95" s="809"/>
      <c r="BP95" s="7"/>
      <c r="BQ95" s="7"/>
      <c r="BR95" s="831"/>
      <c r="BS95" s="827"/>
      <c r="BT95" s="827"/>
      <c r="BU95" s="53" t="s">
        <v>54</v>
      </c>
      <c r="BV95" s="34"/>
      <c r="BW95" s="830"/>
      <c r="BX95" s="829"/>
      <c r="BY95" s="809"/>
      <c r="BZ95" s="7"/>
      <c r="CA95" s="7"/>
      <c r="CB95" s="49"/>
      <c r="CC95" s="827"/>
      <c r="CD95" s="827"/>
      <c r="CE95" s="827"/>
      <c r="CF95" s="827"/>
      <c r="CG95" s="830"/>
    </row>
    <row r="96" spans="1:85">
      <c r="A96" s="651" t="s">
        <v>273</v>
      </c>
      <c r="B96" s="877" t="s">
        <v>274</v>
      </c>
      <c r="C96" s="133" t="s">
        <v>275</v>
      </c>
      <c r="D96" s="672"/>
      <c r="E96" s="587" t="s">
        <v>276</v>
      </c>
      <c r="F96" s="16"/>
      <c r="K96" s="69"/>
      <c r="L96" s="827"/>
      <c r="M96" s="827"/>
      <c r="N96" s="827"/>
      <c r="O96" s="827"/>
      <c r="P96" s="66"/>
      <c r="Q96" s="7"/>
      <c r="R96" s="809"/>
      <c r="S96" s="809"/>
      <c r="T96" s="809"/>
      <c r="U96" s="828"/>
      <c r="V96" s="827"/>
      <c r="W96" s="34"/>
      <c r="X96" s="34"/>
      <c r="Y96" s="34"/>
      <c r="Z96" s="66"/>
      <c r="AA96" s="7"/>
      <c r="AB96" s="7"/>
      <c r="AC96" s="7"/>
      <c r="AD96" s="7"/>
      <c r="AE96" s="828"/>
      <c r="AF96" s="827"/>
      <c r="AG96" s="34"/>
      <c r="AH96" s="34"/>
      <c r="AI96" s="11"/>
      <c r="AJ96" s="829"/>
      <c r="AK96" s="809"/>
      <c r="AL96" s="7"/>
      <c r="AM96" s="7"/>
      <c r="AN96" s="809"/>
      <c r="AO96" s="828"/>
      <c r="AP96" s="827"/>
      <c r="AQ96" s="34"/>
      <c r="AR96" s="34"/>
      <c r="AS96" s="830"/>
      <c r="AU96" s="809"/>
      <c r="AV96" s="7"/>
      <c r="AW96" s="7"/>
      <c r="AY96" s="43"/>
      <c r="AZ96" s="827"/>
      <c r="BA96" s="34"/>
      <c r="BB96" s="34"/>
      <c r="BC96" s="44"/>
      <c r="BE96" s="809"/>
      <c r="BF96" s="7"/>
      <c r="BG96" s="7"/>
      <c r="BH96" s="831"/>
      <c r="BI96" s="827"/>
      <c r="BJ96" s="827"/>
      <c r="BK96" s="34"/>
      <c r="BL96" s="34"/>
      <c r="BM96" s="830"/>
      <c r="BN96" s="809"/>
      <c r="BO96" s="809"/>
      <c r="BP96" s="7"/>
      <c r="BQ96" s="7"/>
      <c r="BR96" s="831"/>
      <c r="BS96" s="827"/>
      <c r="BT96" s="827"/>
      <c r="BU96" s="53"/>
      <c r="BV96" s="34"/>
      <c r="BW96" s="830"/>
      <c r="BX96" s="829"/>
      <c r="BY96" s="809"/>
      <c r="BZ96" s="7"/>
      <c r="CA96" s="7"/>
      <c r="CB96" s="49"/>
      <c r="CC96" s="827"/>
      <c r="CD96" s="827"/>
      <c r="CE96" s="827"/>
      <c r="CF96" s="827"/>
      <c r="CG96" s="830"/>
    </row>
    <row r="97" spans="1:85">
      <c r="A97" s="651" t="s">
        <v>277</v>
      </c>
      <c r="B97" s="877" t="s">
        <v>278</v>
      </c>
      <c r="C97" s="133" t="s">
        <v>279</v>
      </c>
      <c r="D97" s="673"/>
      <c r="E97" s="587" t="s">
        <v>280</v>
      </c>
      <c r="F97" s="16"/>
      <c r="K97" s="69"/>
      <c r="L97" s="827"/>
      <c r="M97" s="827"/>
      <c r="N97" s="827"/>
      <c r="O97" s="827"/>
      <c r="P97" s="66"/>
      <c r="Q97" s="7"/>
      <c r="R97" s="809"/>
      <c r="S97" s="809"/>
      <c r="T97" s="809"/>
      <c r="U97" s="828"/>
      <c r="V97" s="827"/>
      <c r="W97" s="34"/>
      <c r="X97" s="34"/>
      <c r="Y97" s="34"/>
      <c r="Z97" s="66"/>
      <c r="AA97" s="7"/>
      <c r="AB97" s="7"/>
      <c r="AC97" s="7"/>
      <c r="AD97" s="7"/>
      <c r="AE97" s="828"/>
      <c r="AF97" s="827"/>
      <c r="AG97" s="34"/>
      <c r="AH97" s="34"/>
      <c r="AI97" s="11"/>
      <c r="AJ97" s="829"/>
      <c r="AK97" s="809"/>
      <c r="AL97" s="7"/>
      <c r="AM97" s="7"/>
      <c r="AN97" s="809"/>
      <c r="AO97" s="828"/>
      <c r="AP97" s="827"/>
      <c r="AQ97" s="34"/>
      <c r="AR97" s="34"/>
      <c r="AS97" s="830"/>
      <c r="AU97" s="809"/>
      <c r="AV97" s="7"/>
      <c r="AW97" s="7"/>
      <c r="AY97" s="43"/>
      <c r="AZ97" s="827"/>
      <c r="BA97" s="34"/>
      <c r="BB97" s="34"/>
      <c r="BC97" s="44"/>
      <c r="BE97" s="809"/>
      <c r="BF97" s="7"/>
      <c r="BG97" s="7"/>
      <c r="BH97" s="831"/>
      <c r="BI97" s="827"/>
      <c r="BJ97" s="827"/>
      <c r="BK97" s="34"/>
      <c r="BL97" s="34"/>
      <c r="BM97" s="830"/>
      <c r="BN97" s="809"/>
      <c r="BO97" s="809"/>
      <c r="BP97" s="7"/>
      <c r="BQ97" s="7"/>
      <c r="BR97" s="831"/>
      <c r="BS97" s="827"/>
      <c r="BT97" s="827"/>
      <c r="BU97" s="53"/>
      <c r="BV97" s="34"/>
      <c r="BW97" s="830"/>
      <c r="BX97" s="829"/>
      <c r="BY97" s="809"/>
      <c r="BZ97" s="7"/>
      <c r="CA97" s="7"/>
      <c r="CB97" s="49"/>
      <c r="CC97" s="827"/>
      <c r="CD97" s="827"/>
      <c r="CE97" s="827"/>
      <c r="CF97" s="827"/>
      <c r="CG97" s="830"/>
    </row>
    <row r="98" spans="1:85" ht="91.5">
      <c r="A98" s="661" t="s">
        <v>281</v>
      </c>
      <c r="B98" s="748" t="s">
        <v>282</v>
      </c>
      <c r="C98" s="731" t="s">
        <v>283</v>
      </c>
      <c r="D98" s="738" t="s">
        <v>284</v>
      </c>
      <c r="E98" s="737" t="s">
        <v>285</v>
      </c>
      <c r="F98" s="7"/>
      <c r="G98" s="809"/>
      <c r="H98" s="809"/>
      <c r="I98" s="809"/>
      <c r="J98" s="809"/>
      <c r="K98" s="69"/>
      <c r="L98" s="827"/>
      <c r="M98" s="827"/>
      <c r="N98" s="827"/>
      <c r="O98" s="827"/>
      <c r="P98" s="66"/>
      <c r="Q98" s="7"/>
      <c r="R98" s="809"/>
      <c r="S98" s="809"/>
      <c r="T98" s="809"/>
      <c r="U98" s="828"/>
      <c r="V98" s="827"/>
      <c r="W98" s="34"/>
      <c r="X98" s="34"/>
      <c r="Y98" s="34"/>
      <c r="Z98" s="66"/>
      <c r="AA98" s="7"/>
      <c r="AB98" s="7"/>
      <c r="AC98" s="7"/>
      <c r="AD98" s="7"/>
      <c r="AE98" s="828"/>
      <c r="AF98" s="827"/>
      <c r="AG98" s="34"/>
      <c r="AH98" s="34"/>
      <c r="AI98" s="11" t="s">
        <v>53</v>
      </c>
      <c r="AJ98" s="829"/>
      <c r="AK98" s="809"/>
      <c r="AL98" s="7"/>
      <c r="AM98" s="7"/>
      <c r="AN98" s="809"/>
      <c r="AO98" s="828"/>
      <c r="AP98" s="827"/>
      <c r="AQ98" s="34"/>
      <c r="AR98" s="34"/>
      <c r="AS98" s="830"/>
      <c r="AU98" s="809"/>
      <c r="AV98" s="7"/>
      <c r="AW98" s="7"/>
      <c r="AY98" s="43"/>
      <c r="AZ98" s="827"/>
      <c r="BA98" s="34"/>
      <c r="BB98" s="34"/>
      <c r="BC98" s="44"/>
      <c r="BE98" s="809"/>
      <c r="BF98" s="7"/>
      <c r="BG98" s="7"/>
      <c r="BH98" s="831"/>
      <c r="BI98" s="827"/>
      <c r="BJ98" s="827"/>
      <c r="BK98" s="34"/>
      <c r="BL98" s="34"/>
      <c r="BM98" s="830"/>
      <c r="BN98" s="809"/>
      <c r="BO98" s="809"/>
      <c r="BP98" s="7"/>
      <c r="BQ98" s="7"/>
      <c r="BR98" s="831"/>
      <c r="BS98" s="827"/>
      <c r="BT98" s="827"/>
      <c r="BU98" s="53" t="s">
        <v>54</v>
      </c>
      <c r="BV98" s="34"/>
      <c r="BW98" s="830"/>
      <c r="BX98" s="829"/>
      <c r="BY98" s="809"/>
      <c r="BZ98" s="7"/>
      <c r="CA98" s="7"/>
      <c r="CB98" s="49"/>
      <c r="CC98" s="827"/>
      <c r="CD98" s="827"/>
      <c r="CE98" s="827"/>
      <c r="CF98" s="827"/>
      <c r="CG98" s="830"/>
    </row>
    <row r="99" spans="1:85" ht="15.75">
      <c r="A99" s="684" t="s">
        <v>286</v>
      </c>
      <c r="B99" s="878"/>
      <c r="C99" s="879"/>
      <c r="D99" s="880"/>
      <c r="E99" s="880"/>
      <c r="F99" s="66"/>
      <c r="G99" s="809"/>
      <c r="H99" s="809"/>
      <c r="I99" s="809"/>
      <c r="J99" s="809"/>
      <c r="K99" s="69"/>
      <c r="L99" s="827"/>
      <c r="M99" s="827"/>
      <c r="N99" s="827"/>
      <c r="O99" s="827"/>
      <c r="P99" s="66"/>
      <c r="Q99" s="7"/>
      <c r="R99" s="809"/>
      <c r="S99" s="809"/>
      <c r="T99" s="809"/>
      <c r="U99" s="828"/>
      <c r="V99" s="827"/>
      <c r="W99" s="34"/>
      <c r="X99" s="34"/>
      <c r="Y99" s="34"/>
      <c r="Z99" s="66"/>
      <c r="AA99" s="7"/>
      <c r="AB99" s="7"/>
      <c r="AC99" s="7"/>
      <c r="AD99" s="7"/>
      <c r="AE99" s="828"/>
      <c r="AF99" s="827"/>
      <c r="AG99" s="34"/>
      <c r="AH99" s="34"/>
      <c r="AI99" s="11" t="s">
        <v>53</v>
      </c>
      <c r="AJ99" s="829"/>
      <c r="AK99" s="809"/>
      <c r="AL99" s="7"/>
      <c r="AM99" s="7"/>
      <c r="AN99" s="809"/>
      <c r="AO99" s="828"/>
      <c r="AP99" s="827"/>
      <c r="AQ99" s="34"/>
      <c r="AR99" s="34"/>
      <c r="AS99" s="830"/>
      <c r="AU99" s="809"/>
      <c r="AV99" s="7"/>
      <c r="AW99" s="7"/>
      <c r="AY99" s="43"/>
      <c r="AZ99" s="827"/>
      <c r="BA99" s="34"/>
      <c r="BB99" s="34"/>
      <c r="BC99" s="44"/>
      <c r="BE99" s="809"/>
      <c r="BF99" s="7"/>
      <c r="BG99" s="7"/>
      <c r="BH99" s="831"/>
      <c r="BI99" s="827"/>
      <c r="BJ99" s="827"/>
      <c r="BK99" s="34"/>
      <c r="BL99" s="34"/>
      <c r="BM99" s="830"/>
      <c r="BN99" s="809"/>
      <c r="BO99" s="809"/>
      <c r="BP99" s="7"/>
      <c r="BQ99" s="7"/>
      <c r="BR99" s="831"/>
      <c r="BS99" s="827"/>
      <c r="BT99" s="827"/>
      <c r="BU99" s="53" t="s">
        <v>54</v>
      </c>
      <c r="BV99" s="34"/>
      <c r="BW99" s="830"/>
      <c r="BX99" s="829"/>
      <c r="BY99" s="809"/>
      <c r="BZ99" s="7"/>
      <c r="CA99" s="7"/>
      <c r="CB99" s="49"/>
      <c r="CC99" s="827"/>
      <c r="CD99" s="827"/>
      <c r="CE99" s="827"/>
      <c r="CF99" s="827"/>
      <c r="CG99" s="830"/>
    </row>
    <row r="100" spans="1:85" ht="15.75">
      <c r="A100" s="684" t="s">
        <v>287</v>
      </c>
      <c r="B100" s="878" t="s">
        <v>288</v>
      </c>
      <c r="C100" s="870"/>
      <c r="D100" s="871"/>
      <c r="E100" s="871"/>
      <c r="F100" s="66"/>
      <c r="G100" s="809"/>
      <c r="H100" s="809"/>
      <c r="I100" s="809"/>
      <c r="J100" s="809"/>
      <c r="K100" s="69"/>
      <c r="L100" s="827"/>
      <c r="M100" s="827"/>
      <c r="N100" s="827"/>
      <c r="O100" s="827"/>
      <c r="P100" s="66"/>
      <c r="Q100" s="7"/>
      <c r="R100" s="809"/>
      <c r="S100" s="809"/>
      <c r="T100" s="809"/>
      <c r="U100" s="828"/>
      <c r="V100" s="827"/>
      <c r="W100" s="34"/>
      <c r="X100" s="34"/>
      <c r="Y100" s="34"/>
      <c r="Z100" s="66"/>
      <c r="AA100" s="7"/>
      <c r="AB100" s="7"/>
      <c r="AC100" s="7"/>
      <c r="AD100" s="7"/>
      <c r="AE100" s="828"/>
      <c r="AF100" s="827"/>
      <c r="AG100" s="34"/>
      <c r="AH100" s="34"/>
      <c r="AI100" s="11" t="s">
        <v>53</v>
      </c>
      <c r="AJ100" s="829"/>
      <c r="AK100" s="809"/>
      <c r="AL100" s="7"/>
      <c r="AM100" s="7"/>
      <c r="AN100" s="809"/>
      <c r="AO100" s="828"/>
      <c r="AP100" s="827"/>
      <c r="AQ100" s="34"/>
      <c r="AR100" s="34"/>
      <c r="AS100" s="830"/>
      <c r="AU100" s="809"/>
      <c r="AV100" s="7"/>
      <c r="AW100" s="7"/>
      <c r="AY100" s="43"/>
      <c r="AZ100" s="827"/>
      <c r="BA100" s="34"/>
      <c r="BB100" s="34"/>
      <c r="BC100" s="44"/>
      <c r="BE100" s="809"/>
      <c r="BF100" s="7"/>
      <c r="BG100" s="7"/>
      <c r="BH100" s="831"/>
      <c r="BI100" s="827"/>
      <c r="BJ100" s="827"/>
      <c r="BK100" s="34"/>
      <c r="BL100" s="34"/>
      <c r="BM100" s="830"/>
      <c r="BN100" s="809"/>
      <c r="BO100" s="809"/>
      <c r="BP100" s="7"/>
      <c r="BQ100" s="7"/>
      <c r="BR100" s="831"/>
      <c r="BS100" s="827"/>
      <c r="BT100" s="827"/>
      <c r="BU100" s="53" t="s">
        <v>54</v>
      </c>
      <c r="BV100" s="34"/>
      <c r="BW100" s="830"/>
      <c r="BX100" s="829"/>
      <c r="BY100" s="809"/>
      <c r="BZ100" s="7"/>
      <c r="CA100" s="7"/>
      <c r="CB100" s="49"/>
      <c r="CC100" s="827"/>
      <c r="CD100" s="827"/>
      <c r="CE100" s="827"/>
      <c r="CF100" s="827"/>
      <c r="CG100" s="830"/>
    </row>
    <row r="101" spans="1:85" ht="15.75">
      <c r="A101" s="736" t="s">
        <v>289</v>
      </c>
      <c r="B101" s="657"/>
      <c r="C101" s="658"/>
      <c r="D101" s="659"/>
      <c r="E101" s="660"/>
      <c r="F101" s="66"/>
      <c r="G101" s="809"/>
      <c r="H101" s="809"/>
      <c r="I101" s="809"/>
      <c r="J101" s="809"/>
      <c r="K101" s="69"/>
      <c r="L101" s="827"/>
      <c r="M101" s="827"/>
      <c r="N101" s="827"/>
      <c r="O101" s="827"/>
      <c r="P101" s="66"/>
      <c r="Q101" s="7"/>
      <c r="R101" s="809"/>
      <c r="S101" s="809"/>
      <c r="T101" s="809"/>
      <c r="U101" s="828"/>
      <c r="V101" s="827"/>
      <c r="W101" s="34"/>
      <c r="X101" s="34"/>
      <c r="Y101" s="34"/>
      <c r="Z101" s="66"/>
      <c r="AA101" s="7"/>
      <c r="AB101" s="7"/>
      <c r="AC101" s="7"/>
      <c r="AD101" s="7"/>
      <c r="AE101" s="828"/>
      <c r="AF101" s="827"/>
      <c r="AG101" s="34"/>
      <c r="AH101" s="34"/>
      <c r="AI101" s="11"/>
      <c r="AJ101" s="829"/>
      <c r="AK101" s="809"/>
      <c r="AL101" s="7"/>
      <c r="AM101" s="7"/>
      <c r="AN101" s="809"/>
      <c r="AO101" s="828"/>
      <c r="AP101" s="827"/>
      <c r="AQ101" s="34"/>
      <c r="AR101" s="34"/>
      <c r="AS101" s="830"/>
      <c r="AU101" s="809"/>
      <c r="AV101" s="7"/>
      <c r="AW101" s="7"/>
      <c r="AY101" s="43"/>
      <c r="AZ101" s="827"/>
      <c r="BA101" s="34"/>
      <c r="BB101" s="34"/>
      <c r="BC101" s="44"/>
      <c r="BE101" s="809"/>
      <c r="BF101" s="7"/>
      <c r="BG101" s="7"/>
      <c r="BH101" s="831"/>
      <c r="BI101" s="827"/>
      <c r="BJ101" s="827"/>
      <c r="BK101" s="34"/>
      <c r="BL101" s="34"/>
      <c r="BM101" s="830"/>
      <c r="BN101" s="809"/>
      <c r="BO101" s="809"/>
      <c r="BP101" s="7"/>
      <c r="BQ101" s="7"/>
      <c r="BR101" s="831"/>
      <c r="BS101" s="827"/>
      <c r="BT101" s="827"/>
      <c r="BU101" s="53"/>
      <c r="BV101" s="34"/>
      <c r="BW101" s="830"/>
      <c r="BX101" s="829"/>
      <c r="BY101" s="809"/>
      <c r="BZ101" s="7"/>
      <c r="CA101" s="7"/>
      <c r="CB101" s="49"/>
      <c r="CC101" s="827"/>
      <c r="CD101" s="827"/>
      <c r="CE101" s="827"/>
      <c r="CF101" s="827"/>
      <c r="CG101" s="830"/>
    </row>
    <row r="102" spans="1:85" ht="16.5">
      <c r="A102" s="685" t="s">
        <v>290</v>
      </c>
      <c r="B102" s="688" t="s">
        <v>291</v>
      </c>
      <c r="C102" s="870"/>
      <c r="D102" s="871"/>
      <c r="E102" s="871"/>
      <c r="F102" s="66"/>
      <c r="G102" s="809"/>
      <c r="H102" s="809"/>
      <c r="I102" s="809"/>
      <c r="J102" s="809"/>
      <c r="K102" s="69"/>
      <c r="L102" s="827"/>
      <c r="M102" s="827"/>
      <c r="N102" s="827"/>
      <c r="O102" s="827"/>
      <c r="P102" s="66"/>
      <c r="Q102" s="7"/>
      <c r="R102" s="809"/>
      <c r="S102" s="809"/>
      <c r="T102" s="809"/>
      <c r="U102" s="828"/>
      <c r="V102" s="827"/>
      <c r="W102" s="34"/>
      <c r="X102" s="34"/>
      <c r="Y102" s="34"/>
      <c r="Z102" s="66"/>
      <c r="AA102" s="7"/>
      <c r="AB102" s="7"/>
      <c r="AC102" s="7"/>
      <c r="AD102" s="7"/>
      <c r="AE102" s="828"/>
      <c r="AF102" s="827"/>
      <c r="AG102" s="34"/>
      <c r="AH102" s="34"/>
      <c r="AI102" s="11"/>
      <c r="AJ102" s="829"/>
      <c r="AK102" s="809"/>
      <c r="AL102" s="7"/>
      <c r="AM102" s="7"/>
      <c r="AN102" s="809"/>
      <c r="AO102" s="828"/>
      <c r="AP102" s="827"/>
      <c r="AQ102" s="34"/>
      <c r="AR102" s="34"/>
      <c r="AS102" s="830"/>
      <c r="AU102" s="809"/>
      <c r="AV102" s="7"/>
      <c r="AW102" s="7"/>
      <c r="AY102" s="43"/>
      <c r="AZ102" s="827"/>
      <c r="BA102" s="34"/>
      <c r="BB102" s="34"/>
      <c r="BC102" s="44"/>
      <c r="BE102" s="809"/>
      <c r="BF102" s="7"/>
      <c r="BG102" s="7"/>
      <c r="BH102" s="831"/>
      <c r="BI102" s="827"/>
      <c r="BJ102" s="827"/>
      <c r="BK102" s="34"/>
      <c r="BL102" s="34"/>
      <c r="BM102" s="830"/>
      <c r="BN102" s="809"/>
      <c r="BO102" s="809"/>
      <c r="BP102" s="7"/>
      <c r="BQ102" s="7"/>
      <c r="BR102" s="831"/>
      <c r="BS102" s="827"/>
      <c r="BT102" s="827"/>
      <c r="BU102" s="52"/>
      <c r="BV102" s="34"/>
      <c r="BW102" s="830"/>
      <c r="BX102" s="829"/>
      <c r="BY102" s="809"/>
      <c r="BZ102" s="7"/>
      <c r="CA102" s="7"/>
      <c r="CB102" s="49"/>
      <c r="CC102" s="827"/>
      <c r="CD102" s="827"/>
      <c r="CE102" s="827"/>
      <c r="CF102" s="827"/>
      <c r="CG102" s="830"/>
    </row>
    <row r="103" spans="1:85" ht="16.5">
      <c r="A103" s="686" t="s">
        <v>292</v>
      </c>
      <c r="B103" s="689" t="s">
        <v>291</v>
      </c>
      <c r="C103" s="845"/>
      <c r="D103" s="853"/>
      <c r="E103" s="853" t="s">
        <v>95</v>
      </c>
      <c r="F103" s="66"/>
      <c r="G103" s="809"/>
      <c r="H103" s="809"/>
      <c r="I103" s="809"/>
      <c r="J103" s="809"/>
      <c r="K103" s="69"/>
      <c r="L103" s="827"/>
      <c r="M103" s="827"/>
      <c r="N103" s="827"/>
      <c r="O103" s="827"/>
      <c r="P103" s="66"/>
      <c r="Q103" s="7"/>
      <c r="R103" s="809"/>
      <c r="S103" s="809"/>
      <c r="T103" s="809"/>
      <c r="U103" s="828"/>
      <c r="V103" s="827"/>
      <c r="W103" s="34"/>
      <c r="X103" s="34"/>
      <c r="Y103" s="34"/>
      <c r="Z103" s="66"/>
      <c r="AA103" s="7"/>
      <c r="AB103" s="7"/>
      <c r="AC103" s="7"/>
      <c r="AD103" s="7"/>
      <c r="AE103" s="828"/>
      <c r="AF103" s="827"/>
      <c r="AG103" s="34"/>
      <c r="AH103" s="34"/>
      <c r="AI103" s="11"/>
      <c r="AJ103" s="829"/>
      <c r="AK103" s="809"/>
      <c r="AL103" s="7"/>
      <c r="AM103" s="7"/>
      <c r="AN103" s="809"/>
      <c r="AO103" s="828"/>
      <c r="AP103" s="827"/>
      <c r="AQ103" s="34"/>
      <c r="AR103" s="34"/>
      <c r="AS103" s="830"/>
      <c r="AU103" s="809"/>
      <c r="AV103" s="7"/>
      <c r="AW103" s="7"/>
      <c r="AY103" s="43"/>
      <c r="AZ103" s="827"/>
      <c r="BA103" s="34"/>
      <c r="BB103" s="34"/>
      <c r="BC103" s="44"/>
      <c r="BE103" s="809"/>
      <c r="BF103" s="7"/>
      <c r="BG103" s="7"/>
      <c r="BH103" s="831"/>
      <c r="BI103" s="827"/>
      <c r="BJ103" s="827"/>
      <c r="BK103" s="34"/>
      <c r="BL103" s="34"/>
      <c r="BM103" s="830"/>
      <c r="BN103" s="809"/>
      <c r="BO103" s="809"/>
      <c r="BP103" s="7"/>
      <c r="BQ103" s="7"/>
      <c r="BR103" s="831"/>
      <c r="BS103" s="827"/>
      <c r="BT103" s="827"/>
      <c r="BU103" s="52"/>
      <c r="BV103" s="34"/>
      <c r="BW103" s="830"/>
      <c r="BX103" s="829"/>
      <c r="BY103" s="809"/>
      <c r="BZ103" s="7"/>
      <c r="CA103" s="7"/>
      <c r="CB103" s="49"/>
      <c r="CC103" s="827"/>
      <c r="CD103" s="827"/>
      <c r="CE103" s="827"/>
      <c r="CF103" s="827"/>
      <c r="CG103" s="830"/>
    </row>
    <row r="104" spans="1:85" ht="16.5">
      <c r="A104" s="685" t="s">
        <v>293</v>
      </c>
      <c r="B104" s="688" t="s">
        <v>291</v>
      </c>
      <c r="C104" s="870"/>
      <c r="D104" s="871"/>
      <c r="E104" s="871"/>
      <c r="F104" s="66"/>
      <c r="G104" s="809"/>
      <c r="H104" s="809"/>
      <c r="I104" s="809"/>
      <c r="J104" s="809"/>
      <c r="K104" s="69"/>
      <c r="L104" s="827"/>
      <c r="M104" s="827"/>
      <c r="N104" s="827"/>
      <c r="O104" s="827"/>
      <c r="P104" s="66"/>
      <c r="Q104" s="7"/>
      <c r="R104" s="809"/>
      <c r="S104" s="809"/>
      <c r="T104" s="809"/>
      <c r="U104" s="828"/>
      <c r="V104" s="827"/>
      <c r="W104" s="34"/>
      <c r="X104" s="34"/>
      <c r="Y104" s="34"/>
      <c r="Z104" s="66"/>
      <c r="AA104" s="7"/>
      <c r="AB104" s="7"/>
      <c r="AC104" s="7"/>
      <c r="AD104" s="7"/>
      <c r="AE104" s="828"/>
      <c r="AF104" s="827"/>
      <c r="AG104" s="34"/>
      <c r="AH104" s="34"/>
      <c r="AI104" s="11"/>
      <c r="AJ104" s="829"/>
      <c r="AK104" s="809"/>
      <c r="AL104" s="7"/>
      <c r="AM104" s="7"/>
      <c r="AN104" s="809"/>
      <c r="AO104" s="828"/>
      <c r="AP104" s="827"/>
      <c r="AQ104" s="34"/>
      <c r="AR104" s="34"/>
      <c r="AS104" s="830"/>
      <c r="AU104" s="809"/>
      <c r="AV104" s="7"/>
      <c r="AW104" s="7"/>
      <c r="AY104" s="43"/>
      <c r="AZ104" s="827"/>
      <c r="BA104" s="34"/>
      <c r="BB104" s="34"/>
      <c r="BC104" s="44"/>
      <c r="BE104" s="809"/>
      <c r="BF104" s="7"/>
      <c r="BG104" s="7"/>
      <c r="BH104" s="831"/>
      <c r="BI104" s="827"/>
      <c r="BJ104" s="827"/>
      <c r="BK104" s="34"/>
      <c r="BL104" s="34"/>
      <c r="BM104" s="830"/>
      <c r="BN104" s="809"/>
      <c r="BO104" s="809"/>
      <c r="BP104" s="7"/>
      <c r="BQ104" s="7"/>
      <c r="BR104" s="831"/>
      <c r="BS104" s="827"/>
      <c r="BT104" s="827"/>
      <c r="BU104" s="52"/>
      <c r="BV104" s="34"/>
      <c r="BW104" s="830"/>
      <c r="BX104" s="829"/>
      <c r="BY104" s="809"/>
      <c r="BZ104" s="7"/>
      <c r="CA104" s="7"/>
      <c r="CB104" s="49"/>
      <c r="CC104" s="827"/>
      <c r="CD104" s="827"/>
      <c r="CE104" s="827"/>
      <c r="CF104" s="827"/>
      <c r="CG104" s="830"/>
    </row>
    <row r="105" spans="1:85" ht="16.5">
      <c r="A105" s="685" t="s">
        <v>294</v>
      </c>
      <c r="B105" s="688" t="s">
        <v>291</v>
      </c>
      <c r="C105" s="870"/>
      <c r="D105" s="871"/>
      <c r="E105" s="871"/>
      <c r="F105" s="66"/>
      <c r="G105" s="809"/>
      <c r="H105" s="809"/>
      <c r="I105" s="809"/>
      <c r="J105" s="809"/>
      <c r="K105" s="69"/>
      <c r="L105" s="827"/>
      <c r="M105" s="827"/>
      <c r="N105" s="827"/>
      <c r="O105" s="827"/>
      <c r="P105" s="66"/>
      <c r="Q105" s="7"/>
      <c r="R105" s="809"/>
      <c r="S105" s="809"/>
      <c r="T105" s="809"/>
      <c r="U105" s="828"/>
      <c r="V105" s="827"/>
      <c r="W105" s="34"/>
      <c r="X105" s="34"/>
      <c r="Y105" s="34"/>
      <c r="Z105" s="66"/>
      <c r="AA105" s="7"/>
      <c r="AB105" s="7"/>
      <c r="AC105" s="7"/>
      <c r="AD105" s="7"/>
      <c r="AE105" s="828"/>
      <c r="AF105" s="827"/>
      <c r="AG105" s="34"/>
      <c r="AH105" s="34"/>
      <c r="AI105" s="11"/>
      <c r="AJ105" s="829"/>
      <c r="AK105" s="809"/>
      <c r="AL105" s="7"/>
      <c r="AM105" s="7"/>
      <c r="AN105" s="809"/>
      <c r="AO105" s="828"/>
      <c r="AP105" s="827"/>
      <c r="AQ105" s="34"/>
      <c r="AR105" s="34"/>
      <c r="AS105" s="830"/>
      <c r="AU105" s="809"/>
      <c r="AV105" s="7"/>
      <c r="AW105" s="7"/>
      <c r="AY105" s="43"/>
      <c r="AZ105" s="827"/>
      <c r="BA105" s="34"/>
      <c r="BB105" s="34"/>
      <c r="BC105" s="44"/>
      <c r="BE105" s="809"/>
      <c r="BF105" s="7"/>
      <c r="BG105" s="7"/>
      <c r="BH105" s="831"/>
      <c r="BI105" s="827"/>
      <c r="BJ105" s="827"/>
      <c r="BK105" s="34"/>
      <c r="BL105" s="34"/>
      <c r="BM105" s="830"/>
      <c r="BN105" s="809"/>
      <c r="BO105" s="809"/>
      <c r="BP105" s="7"/>
      <c r="BQ105" s="7"/>
      <c r="BR105" s="831"/>
      <c r="BS105" s="827"/>
      <c r="BT105" s="827"/>
      <c r="BU105" s="52"/>
      <c r="BV105" s="34"/>
      <c r="BW105" s="830"/>
      <c r="BX105" s="829"/>
      <c r="BY105" s="809"/>
      <c r="BZ105" s="7"/>
      <c r="CA105" s="7"/>
      <c r="CB105" s="49"/>
      <c r="CC105" s="827"/>
      <c r="CD105" s="827"/>
      <c r="CE105" s="827"/>
      <c r="CF105" s="827"/>
      <c r="CG105" s="830"/>
    </row>
    <row r="106" spans="1:85" ht="16.5">
      <c r="A106" s="685" t="s">
        <v>295</v>
      </c>
      <c r="B106" s="688" t="s">
        <v>291</v>
      </c>
      <c r="C106" s="870"/>
      <c r="D106" s="871"/>
      <c r="E106" s="871"/>
      <c r="F106" s="66"/>
      <c r="G106" s="809"/>
      <c r="H106" s="809"/>
      <c r="I106" s="809"/>
      <c r="J106" s="809"/>
      <c r="K106" s="69"/>
      <c r="L106" s="827"/>
      <c r="M106" s="827"/>
      <c r="N106" s="827"/>
      <c r="O106" s="827"/>
      <c r="P106" s="66"/>
      <c r="Q106" s="7"/>
      <c r="R106" s="809"/>
      <c r="S106" s="809"/>
      <c r="T106" s="809"/>
      <c r="U106" s="828"/>
      <c r="V106" s="827"/>
      <c r="W106" s="34"/>
      <c r="X106" s="34"/>
      <c r="Y106" s="34"/>
      <c r="Z106" s="66"/>
      <c r="AA106" s="7"/>
      <c r="AB106" s="7"/>
      <c r="AC106" s="7"/>
      <c r="AD106" s="7"/>
      <c r="AE106" s="828"/>
      <c r="AF106" s="827"/>
      <c r="AG106" s="34"/>
      <c r="AH106" s="34"/>
      <c r="AI106" s="11"/>
      <c r="AJ106" s="829"/>
      <c r="AK106" s="809"/>
      <c r="AL106" s="7"/>
      <c r="AM106" s="7"/>
      <c r="AN106" s="809"/>
      <c r="AO106" s="828"/>
      <c r="AP106" s="827"/>
      <c r="AQ106" s="34"/>
      <c r="AR106" s="34"/>
      <c r="AS106" s="830"/>
      <c r="AU106" s="809"/>
      <c r="AV106" s="7"/>
      <c r="AW106" s="7"/>
      <c r="AY106" s="43"/>
      <c r="AZ106" s="827"/>
      <c r="BA106" s="34"/>
      <c r="BB106" s="34"/>
      <c r="BC106" s="44"/>
      <c r="BE106" s="809"/>
      <c r="BF106" s="7"/>
      <c r="BG106" s="7"/>
      <c r="BH106" s="831"/>
      <c r="BI106" s="827"/>
      <c r="BJ106" s="827"/>
      <c r="BK106" s="34"/>
      <c r="BL106" s="34"/>
      <c r="BM106" s="830"/>
      <c r="BN106" s="809"/>
      <c r="BO106" s="809"/>
      <c r="BP106" s="7"/>
      <c r="BQ106" s="7"/>
      <c r="BR106" s="831"/>
      <c r="BS106" s="827"/>
      <c r="BT106" s="827"/>
      <c r="BU106" s="52"/>
      <c r="BV106" s="34"/>
      <c r="BW106" s="830"/>
      <c r="BX106" s="829"/>
      <c r="BY106" s="809"/>
      <c r="BZ106" s="7"/>
      <c r="CA106" s="7"/>
      <c r="CB106" s="49"/>
      <c r="CC106" s="827"/>
      <c r="CD106" s="827"/>
      <c r="CE106" s="827"/>
      <c r="CF106" s="827"/>
      <c r="CG106" s="830"/>
    </row>
    <row r="107" spans="1:85" ht="16.5">
      <c r="A107" s="687" t="s">
        <v>296</v>
      </c>
      <c r="B107" s="690" t="s">
        <v>291</v>
      </c>
      <c r="C107" s="881"/>
      <c r="D107" s="882"/>
      <c r="E107" s="882"/>
      <c r="F107" s="66"/>
      <c r="G107" s="809"/>
      <c r="H107" s="809"/>
      <c r="I107" s="809"/>
      <c r="J107" s="809"/>
      <c r="K107" s="69"/>
      <c r="L107" s="827"/>
      <c r="M107" s="827"/>
      <c r="N107" s="827"/>
      <c r="O107" s="827"/>
      <c r="P107" s="66"/>
      <c r="Q107" s="7"/>
      <c r="R107" s="809"/>
      <c r="S107" s="809"/>
      <c r="T107" s="809"/>
      <c r="U107" s="828"/>
      <c r="V107" s="827"/>
      <c r="W107" s="34"/>
      <c r="X107" s="34"/>
      <c r="Y107" s="34"/>
      <c r="Z107" s="66"/>
      <c r="AA107" s="7"/>
      <c r="AB107" s="7"/>
      <c r="AC107" s="7"/>
      <c r="AD107" s="7"/>
      <c r="AE107" s="828"/>
      <c r="AF107" s="827"/>
      <c r="AG107" s="34"/>
      <c r="AH107" s="34"/>
      <c r="AI107" s="11"/>
      <c r="AJ107" s="829"/>
      <c r="AK107" s="809"/>
      <c r="AL107" s="7"/>
      <c r="AM107" s="7"/>
      <c r="AN107" s="809"/>
      <c r="AO107" s="828"/>
      <c r="AP107" s="827"/>
      <c r="AQ107" s="34"/>
      <c r="AR107" s="34"/>
      <c r="AS107" s="830"/>
      <c r="AU107" s="809"/>
      <c r="AV107" s="7"/>
      <c r="AW107" s="7"/>
      <c r="AY107" s="43"/>
      <c r="AZ107" s="827"/>
      <c r="BA107" s="34"/>
      <c r="BB107" s="34"/>
      <c r="BC107" s="44"/>
      <c r="BE107" s="809"/>
      <c r="BF107" s="7"/>
      <c r="BG107" s="7"/>
      <c r="BH107" s="831"/>
      <c r="BI107" s="827"/>
      <c r="BJ107" s="827"/>
      <c r="BK107" s="34"/>
      <c r="BL107" s="34"/>
      <c r="BM107" s="830"/>
      <c r="BN107" s="809"/>
      <c r="BO107" s="809"/>
      <c r="BP107" s="7"/>
      <c r="BQ107" s="7"/>
      <c r="BR107" s="831"/>
      <c r="BS107" s="827"/>
      <c r="BT107" s="827"/>
      <c r="BU107" s="52"/>
      <c r="BV107" s="34"/>
      <c r="BW107" s="830"/>
      <c r="BX107" s="829"/>
      <c r="BY107" s="809"/>
      <c r="BZ107" s="7"/>
      <c r="CA107" s="7"/>
      <c r="CB107" s="49"/>
      <c r="CC107" s="827"/>
      <c r="CD107" s="827"/>
      <c r="CE107" s="827"/>
      <c r="CF107" s="827"/>
      <c r="CG107" s="830"/>
    </row>
    <row r="108" spans="1:85" ht="15.75">
      <c r="A108" s="736" t="s">
        <v>297</v>
      </c>
      <c r="B108" s="657"/>
      <c r="C108" s="658"/>
      <c r="D108" s="659"/>
      <c r="E108" s="660"/>
      <c r="F108" s="7"/>
      <c r="G108" s="809"/>
      <c r="H108" s="809"/>
      <c r="I108" s="809"/>
      <c r="J108" s="809"/>
      <c r="K108" s="69"/>
      <c r="L108" s="827"/>
      <c r="M108" s="827"/>
      <c r="N108" s="827"/>
      <c r="O108" s="827"/>
      <c r="P108" s="66"/>
      <c r="Q108" s="7"/>
      <c r="R108" s="809"/>
      <c r="S108" s="809"/>
      <c r="T108" s="809"/>
      <c r="U108" s="828"/>
      <c r="V108" s="827"/>
      <c r="W108" s="34"/>
      <c r="X108" s="34"/>
      <c r="Y108" s="34"/>
      <c r="Z108" s="66"/>
      <c r="AA108" s="7"/>
      <c r="AB108" s="7"/>
      <c r="AC108" s="7"/>
      <c r="AD108" s="7"/>
      <c r="AE108" s="828"/>
      <c r="AF108" s="827"/>
      <c r="AG108" s="34"/>
      <c r="AH108" s="34"/>
      <c r="AI108" s="11"/>
      <c r="AJ108" s="829"/>
      <c r="AK108" s="809"/>
      <c r="AL108" s="7"/>
      <c r="AM108" s="7"/>
      <c r="AN108" s="809"/>
      <c r="AO108" s="828"/>
      <c r="AP108" s="827"/>
      <c r="AQ108" s="34"/>
      <c r="AR108" s="34"/>
      <c r="AS108" s="830"/>
      <c r="AU108" s="809"/>
      <c r="AV108" s="7"/>
      <c r="AW108" s="7"/>
      <c r="AY108" s="43"/>
      <c r="AZ108" s="827"/>
      <c r="BA108" s="34"/>
      <c r="BB108" s="34"/>
      <c r="BC108" s="44"/>
      <c r="BE108" s="809"/>
      <c r="BF108" s="7"/>
      <c r="BG108" s="7"/>
      <c r="BH108" s="831"/>
      <c r="BI108" s="827"/>
      <c r="BJ108" s="827"/>
      <c r="BK108" s="34"/>
      <c r="BL108" s="34"/>
      <c r="BM108" s="830"/>
      <c r="BN108" s="809"/>
      <c r="BO108" s="809"/>
      <c r="BP108" s="7"/>
      <c r="BQ108" s="7"/>
      <c r="BR108" s="831"/>
      <c r="BS108" s="827"/>
      <c r="BT108" s="827"/>
      <c r="BU108" s="52"/>
      <c r="BV108" s="34"/>
      <c r="BW108" s="830"/>
      <c r="BX108" s="829"/>
      <c r="BY108" s="809"/>
      <c r="BZ108" s="7"/>
      <c r="CA108" s="7"/>
      <c r="CB108" s="49"/>
      <c r="CC108" s="827"/>
      <c r="CD108" s="827"/>
      <c r="CE108" s="827"/>
      <c r="CF108" s="827"/>
      <c r="CG108" s="830"/>
    </row>
    <row r="109" spans="1:85" ht="18.75">
      <c r="A109" s="655" t="s">
        <v>298</v>
      </c>
      <c r="B109" s="883"/>
      <c r="C109" s="879"/>
      <c r="D109" s="880"/>
      <c r="E109" s="880"/>
      <c r="F109" s="66"/>
      <c r="G109" s="809"/>
      <c r="H109" s="809"/>
      <c r="I109" s="809"/>
      <c r="J109" s="809"/>
      <c r="K109" s="69"/>
      <c r="L109" s="827"/>
      <c r="M109" s="827"/>
      <c r="N109" s="827"/>
      <c r="O109" s="827"/>
      <c r="P109" s="66"/>
      <c r="Q109" s="7"/>
      <c r="R109" s="809"/>
      <c r="S109" s="809"/>
      <c r="T109" s="809"/>
      <c r="U109" s="828"/>
      <c r="V109" s="827"/>
      <c r="W109" s="34"/>
      <c r="X109" s="34"/>
      <c r="Y109" s="34"/>
      <c r="Z109" s="66"/>
      <c r="AA109" s="7"/>
      <c r="AB109" s="7"/>
      <c r="AC109" s="7"/>
      <c r="AD109" s="7"/>
      <c r="AE109" s="828"/>
      <c r="AF109" s="827"/>
      <c r="AG109" s="34"/>
      <c r="AH109" s="34"/>
      <c r="AI109" s="11"/>
      <c r="AJ109" s="829"/>
      <c r="AK109" s="809"/>
      <c r="AL109" s="7"/>
      <c r="AM109" s="7"/>
      <c r="AN109" s="809"/>
      <c r="AO109" s="828"/>
      <c r="AP109" s="827"/>
      <c r="AQ109" s="34"/>
      <c r="AR109" s="34"/>
      <c r="AS109" s="830"/>
      <c r="AU109" s="809"/>
      <c r="AV109" s="7"/>
      <c r="AW109" s="7"/>
      <c r="AY109" s="43"/>
      <c r="AZ109" s="827"/>
      <c r="BA109" s="34"/>
      <c r="BB109" s="34"/>
      <c r="BC109" s="44"/>
      <c r="BE109" s="809"/>
      <c r="BF109" s="7"/>
      <c r="BG109" s="7"/>
      <c r="BH109" s="831"/>
      <c r="BI109" s="827"/>
      <c r="BJ109" s="827"/>
      <c r="BK109" s="34"/>
      <c r="BL109" s="34"/>
      <c r="BM109" s="830"/>
      <c r="BN109" s="809"/>
      <c r="BO109" s="809"/>
      <c r="BP109" s="7"/>
      <c r="BQ109" s="7"/>
      <c r="BR109" s="831"/>
      <c r="BS109" s="827"/>
      <c r="BT109" s="827"/>
      <c r="BU109" s="53"/>
      <c r="BV109" s="34"/>
      <c r="BW109" s="830"/>
      <c r="BX109" s="829"/>
      <c r="BY109" s="809"/>
      <c r="BZ109" s="7"/>
      <c r="CA109" s="7"/>
      <c r="CB109" s="49"/>
      <c r="CC109" s="827"/>
      <c r="CD109" s="827"/>
      <c r="CE109" s="827"/>
      <c r="CF109" s="827"/>
      <c r="CG109" s="830"/>
    </row>
    <row r="110" spans="1:85" ht="18.75">
      <c r="A110" s="670" t="s">
        <v>299</v>
      </c>
      <c r="B110" s="838"/>
      <c r="C110" s="845"/>
      <c r="D110" s="853"/>
      <c r="E110" s="853" t="s">
        <v>95</v>
      </c>
      <c r="F110" s="66"/>
      <c r="G110" s="809"/>
      <c r="H110" s="809"/>
      <c r="I110" s="809"/>
      <c r="J110" s="809"/>
      <c r="K110" s="69"/>
      <c r="L110" s="827"/>
      <c r="M110" s="827"/>
      <c r="N110" s="827"/>
      <c r="O110" s="827"/>
      <c r="P110" s="66"/>
      <c r="Q110" s="7"/>
      <c r="R110" s="809"/>
      <c r="S110" s="809"/>
      <c r="T110" s="809"/>
      <c r="U110" s="828"/>
      <c r="V110" s="827"/>
      <c r="W110" s="34"/>
      <c r="X110" s="34"/>
      <c r="Y110" s="34"/>
      <c r="Z110" s="66"/>
      <c r="AA110" s="7"/>
      <c r="AB110" s="7"/>
      <c r="AC110" s="7"/>
      <c r="AD110" s="7"/>
      <c r="AE110" s="828"/>
      <c r="AF110" s="827"/>
      <c r="AG110" s="34"/>
      <c r="AH110" s="34"/>
      <c r="AI110" s="11"/>
      <c r="AJ110" s="829"/>
      <c r="AK110" s="809"/>
      <c r="AL110" s="7"/>
      <c r="AM110" s="7"/>
      <c r="AN110" s="809"/>
      <c r="AO110" s="828"/>
      <c r="AP110" s="827"/>
      <c r="AQ110" s="34"/>
      <c r="AR110" s="34"/>
      <c r="AS110" s="830"/>
      <c r="AU110" s="809"/>
      <c r="AV110" s="7"/>
      <c r="AW110" s="7"/>
      <c r="AY110" s="43"/>
      <c r="AZ110" s="827"/>
      <c r="BA110" s="34"/>
      <c r="BB110" s="34"/>
      <c r="BC110" s="44"/>
      <c r="BE110" s="809"/>
      <c r="BF110" s="7"/>
      <c r="BG110" s="7"/>
      <c r="BH110" s="831"/>
      <c r="BI110" s="827"/>
      <c r="BJ110" s="827"/>
      <c r="BK110" s="34"/>
      <c r="BL110" s="34"/>
      <c r="BM110" s="830"/>
      <c r="BN110" s="809"/>
      <c r="BO110" s="809"/>
      <c r="BP110" s="7"/>
      <c r="BQ110" s="7"/>
      <c r="BR110" s="831"/>
      <c r="BS110" s="827"/>
      <c r="BT110" s="827"/>
      <c r="BU110" s="53"/>
      <c r="BV110" s="34"/>
      <c r="BW110" s="830"/>
      <c r="BX110" s="829"/>
      <c r="BY110" s="809"/>
      <c r="BZ110" s="7"/>
      <c r="CA110" s="7"/>
      <c r="CB110" s="49"/>
      <c r="CC110" s="827"/>
      <c r="CD110" s="827"/>
      <c r="CE110" s="827"/>
      <c r="CF110" s="827"/>
      <c r="CG110" s="830"/>
    </row>
    <row r="111" spans="1:85" ht="18.75">
      <c r="A111" s="654" t="s">
        <v>300</v>
      </c>
      <c r="B111" s="878"/>
      <c r="C111" s="870"/>
      <c r="D111" s="871"/>
      <c r="E111" s="871"/>
      <c r="F111" s="66"/>
      <c r="G111" s="809"/>
      <c r="H111" s="809"/>
      <c r="I111" s="809"/>
      <c r="J111" s="809"/>
      <c r="K111" s="69"/>
      <c r="L111" s="827"/>
      <c r="M111" s="827"/>
      <c r="N111" s="827"/>
      <c r="O111" s="827"/>
      <c r="P111" s="66"/>
      <c r="Q111" s="7"/>
      <c r="R111" s="809"/>
      <c r="S111" s="809"/>
      <c r="T111" s="809"/>
      <c r="U111" s="828"/>
      <c r="V111" s="827"/>
      <c r="W111" s="34"/>
      <c r="X111" s="34"/>
      <c r="Y111" s="34"/>
      <c r="Z111" s="66"/>
      <c r="AA111" s="7"/>
      <c r="AB111" s="7"/>
      <c r="AC111" s="7"/>
      <c r="AD111" s="7"/>
      <c r="AE111" s="828"/>
      <c r="AF111" s="827"/>
      <c r="AG111" s="34"/>
      <c r="AH111" s="34"/>
      <c r="AI111" s="11"/>
      <c r="AJ111" s="829"/>
      <c r="AK111" s="809"/>
      <c r="AL111" s="7"/>
      <c r="AM111" s="7"/>
      <c r="AN111" s="809"/>
      <c r="AO111" s="828"/>
      <c r="AP111" s="827"/>
      <c r="AQ111" s="34"/>
      <c r="AR111" s="34"/>
      <c r="AS111" s="830"/>
      <c r="AU111" s="809"/>
      <c r="AV111" s="7"/>
      <c r="AW111" s="7"/>
      <c r="AY111" s="43"/>
      <c r="AZ111" s="827"/>
      <c r="BA111" s="34"/>
      <c r="BB111" s="34"/>
      <c r="BC111" s="44"/>
      <c r="BE111" s="809"/>
      <c r="BF111" s="7"/>
      <c r="BG111" s="7"/>
      <c r="BH111" s="831"/>
      <c r="BI111" s="827"/>
      <c r="BJ111" s="827"/>
      <c r="BK111" s="34"/>
      <c r="BL111" s="34"/>
      <c r="BM111" s="830"/>
      <c r="BN111" s="809"/>
      <c r="BO111" s="809"/>
      <c r="BP111" s="7"/>
      <c r="BQ111" s="7"/>
      <c r="BR111" s="831"/>
      <c r="BS111" s="827"/>
      <c r="BT111" s="827"/>
      <c r="BU111" s="53"/>
      <c r="BV111" s="34"/>
      <c r="BW111" s="830"/>
      <c r="BX111" s="829"/>
      <c r="BY111" s="809"/>
      <c r="BZ111" s="7"/>
      <c r="CA111" s="7"/>
      <c r="CB111" s="49"/>
      <c r="CC111" s="827"/>
      <c r="CD111" s="827"/>
      <c r="CE111" s="827"/>
      <c r="CF111" s="827"/>
      <c r="CG111" s="830"/>
    </row>
    <row r="112" spans="1:85" ht="18.75">
      <c r="A112" s="654" t="s">
        <v>301</v>
      </c>
      <c r="B112" s="878"/>
      <c r="C112" s="870"/>
      <c r="D112" s="871"/>
      <c r="E112" s="871"/>
      <c r="F112" s="66"/>
      <c r="G112" s="809"/>
      <c r="H112" s="809"/>
      <c r="I112" s="809"/>
      <c r="J112" s="809"/>
      <c r="K112" s="69"/>
      <c r="L112" s="827"/>
      <c r="M112" s="827"/>
      <c r="N112" s="827"/>
      <c r="O112" s="827"/>
      <c r="P112" s="66"/>
      <c r="Q112" s="7"/>
      <c r="R112" s="809"/>
      <c r="S112" s="809"/>
      <c r="T112" s="809"/>
      <c r="U112" s="828"/>
      <c r="V112" s="827"/>
      <c r="W112" s="34"/>
      <c r="X112" s="34"/>
      <c r="Y112" s="34"/>
      <c r="Z112" s="66"/>
      <c r="AA112" s="7"/>
      <c r="AB112" s="7"/>
      <c r="AC112" s="7"/>
      <c r="AD112" s="7"/>
      <c r="AE112" s="828"/>
      <c r="AF112" s="827"/>
      <c r="AG112" s="34"/>
      <c r="AH112" s="34"/>
      <c r="AI112" s="11"/>
      <c r="AJ112" s="829"/>
      <c r="AK112" s="809"/>
      <c r="AL112" s="7"/>
      <c r="AM112" s="7"/>
      <c r="AN112" s="809"/>
      <c r="AO112" s="828"/>
      <c r="AP112" s="827"/>
      <c r="AQ112" s="34"/>
      <c r="AR112" s="34"/>
      <c r="AS112" s="830"/>
      <c r="AU112" s="809"/>
      <c r="AV112" s="7"/>
      <c r="AW112" s="7"/>
      <c r="AY112" s="43"/>
      <c r="AZ112" s="827"/>
      <c r="BA112" s="34"/>
      <c r="BB112" s="34"/>
      <c r="BC112" s="44"/>
      <c r="BE112" s="809"/>
      <c r="BF112" s="7"/>
      <c r="BG112" s="7"/>
      <c r="BH112" s="831"/>
      <c r="BI112" s="827"/>
      <c r="BJ112" s="827"/>
      <c r="BK112" s="34"/>
      <c r="BL112" s="34"/>
      <c r="BM112" s="830"/>
      <c r="BN112" s="809"/>
      <c r="BO112" s="809"/>
      <c r="BP112" s="7"/>
      <c r="BQ112" s="7"/>
      <c r="BR112" s="831"/>
      <c r="BS112" s="827"/>
      <c r="BT112" s="827"/>
      <c r="BU112" s="53"/>
      <c r="BV112" s="34"/>
      <c r="BW112" s="830"/>
      <c r="BX112" s="829"/>
      <c r="BY112" s="809"/>
      <c r="BZ112" s="7"/>
      <c r="CA112" s="7"/>
      <c r="CB112" s="49"/>
      <c r="CC112" s="827"/>
      <c r="CD112" s="827"/>
      <c r="CE112" s="827"/>
      <c r="CF112" s="827"/>
      <c r="CG112" s="830"/>
    </row>
    <row r="113" spans="1:85" ht="18.75">
      <c r="A113" s="654" t="s">
        <v>302</v>
      </c>
      <c r="B113" s="878"/>
      <c r="C113" s="870"/>
      <c r="D113" s="871"/>
      <c r="E113" s="871"/>
      <c r="F113" s="66"/>
      <c r="G113" s="809"/>
      <c r="H113" s="809"/>
      <c r="I113" s="809"/>
      <c r="J113" s="809"/>
      <c r="K113" s="69"/>
      <c r="L113" s="827"/>
      <c r="M113" s="827"/>
      <c r="N113" s="827"/>
      <c r="O113" s="827"/>
      <c r="P113" s="66"/>
      <c r="Q113" s="7"/>
      <c r="R113" s="809"/>
      <c r="S113" s="809"/>
      <c r="T113" s="809"/>
      <c r="U113" s="828"/>
      <c r="V113" s="827"/>
      <c r="W113" s="34"/>
      <c r="X113" s="34"/>
      <c r="Y113" s="34"/>
      <c r="Z113" s="66"/>
      <c r="AA113" s="7"/>
      <c r="AB113" s="7"/>
      <c r="AC113" s="7"/>
      <c r="AD113" s="7"/>
      <c r="AE113" s="828"/>
      <c r="AF113" s="827"/>
      <c r="AG113" s="34"/>
      <c r="AH113" s="34"/>
      <c r="AI113" s="11"/>
      <c r="AJ113" s="829"/>
      <c r="AK113" s="809"/>
      <c r="AL113" s="7"/>
      <c r="AM113" s="7"/>
      <c r="AN113" s="809"/>
      <c r="AO113" s="828"/>
      <c r="AP113" s="827"/>
      <c r="AQ113" s="34"/>
      <c r="AR113" s="34"/>
      <c r="AS113" s="830"/>
      <c r="AU113" s="809"/>
      <c r="AV113" s="7"/>
      <c r="AW113" s="7"/>
      <c r="AY113" s="43"/>
      <c r="AZ113" s="827"/>
      <c r="BA113" s="34"/>
      <c r="BB113" s="34"/>
      <c r="BC113" s="44"/>
      <c r="BE113" s="809"/>
      <c r="BF113" s="7"/>
      <c r="BG113" s="7"/>
      <c r="BH113" s="831"/>
      <c r="BI113" s="827"/>
      <c r="BJ113" s="827"/>
      <c r="BK113" s="34"/>
      <c r="BL113" s="34"/>
      <c r="BM113" s="830"/>
      <c r="BN113" s="809"/>
      <c r="BO113" s="809"/>
      <c r="BP113" s="7"/>
      <c r="BQ113" s="7"/>
      <c r="BR113" s="831"/>
      <c r="BS113" s="827"/>
      <c r="BT113" s="827"/>
      <c r="BU113" s="53"/>
      <c r="BV113" s="34"/>
      <c r="BW113" s="830"/>
      <c r="BX113" s="829"/>
      <c r="BY113" s="809"/>
      <c r="BZ113" s="7"/>
      <c r="CA113" s="7"/>
      <c r="CB113" s="49"/>
      <c r="CC113" s="827"/>
      <c r="CD113" s="827"/>
      <c r="CE113" s="827"/>
      <c r="CF113" s="827"/>
      <c r="CG113" s="830"/>
    </row>
    <row r="114" spans="1:85" ht="18.75">
      <c r="A114" s="656" t="s">
        <v>303</v>
      </c>
      <c r="B114" s="884"/>
      <c r="C114" s="881"/>
      <c r="D114" s="882"/>
      <c r="E114" s="882"/>
      <c r="F114" s="66"/>
      <c r="G114" s="809"/>
      <c r="H114" s="809"/>
      <c r="I114" s="809"/>
      <c r="J114" s="809"/>
      <c r="K114" s="69"/>
      <c r="L114" s="827"/>
      <c r="M114" s="827"/>
      <c r="N114" s="827"/>
      <c r="O114" s="827"/>
      <c r="P114" s="66"/>
      <c r="Q114" s="7"/>
      <c r="R114" s="809"/>
      <c r="S114" s="809"/>
      <c r="T114" s="809"/>
      <c r="U114" s="828"/>
      <c r="V114" s="827"/>
      <c r="W114" s="34"/>
      <c r="X114" s="34"/>
      <c r="Y114" s="34"/>
      <c r="Z114" s="66"/>
      <c r="AA114" s="7"/>
      <c r="AB114" s="7"/>
      <c r="AC114" s="7"/>
      <c r="AD114" s="7"/>
      <c r="AE114" s="828"/>
      <c r="AF114" s="827"/>
      <c r="AG114" s="34"/>
      <c r="AH114" s="34"/>
      <c r="AI114" s="11"/>
      <c r="AJ114" s="829"/>
      <c r="AK114" s="809"/>
      <c r="AL114" s="7"/>
      <c r="AM114" s="7"/>
      <c r="AN114" s="809"/>
      <c r="AO114" s="828"/>
      <c r="AP114" s="827"/>
      <c r="AQ114" s="34"/>
      <c r="AR114" s="34"/>
      <c r="AS114" s="830"/>
      <c r="AU114" s="809"/>
      <c r="AV114" s="7"/>
      <c r="AW114" s="7"/>
      <c r="AY114" s="43"/>
      <c r="AZ114" s="827"/>
      <c r="BA114" s="34"/>
      <c r="BB114" s="34"/>
      <c r="BC114" s="44"/>
      <c r="BE114" s="809"/>
      <c r="BF114" s="7"/>
      <c r="BG114" s="7"/>
      <c r="BH114" s="831"/>
      <c r="BI114" s="827"/>
      <c r="BJ114" s="827"/>
      <c r="BK114" s="34"/>
      <c r="BL114" s="34"/>
      <c r="BM114" s="830"/>
      <c r="BN114" s="809"/>
      <c r="BO114" s="809"/>
      <c r="BP114" s="7"/>
      <c r="BQ114" s="7"/>
      <c r="BR114" s="831"/>
      <c r="BS114" s="827"/>
      <c r="BT114" s="827"/>
      <c r="BU114" s="53"/>
      <c r="BV114" s="34"/>
      <c r="BW114" s="830"/>
      <c r="BX114" s="829"/>
      <c r="BY114" s="809"/>
      <c r="BZ114" s="7"/>
      <c r="CA114" s="7"/>
      <c r="CB114" s="49"/>
      <c r="CC114" s="827"/>
      <c r="CD114" s="827"/>
      <c r="CE114" s="827"/>
      <c r="CF114" s="827"/>
      <c r="CG114" s="830"/>
    </row>
    <row r="115" spans="1:85" s="14" customFormat="1" ht="21">
      <c r="A115" s="683" t="s">
        <v>304</v>
      </c>
      <c r="B115" s="729"/>
      <c r="C115" s="596">
        <v>45252</v>
      </c>
      <c r="D115" s="110"/>
      <c r="E115" s="614"/>
      <c r="F115" s="32"/>
      <c r="G115" s="32"/>
      <c r="H115" s="32"/>
      <c r="I115" s="32"/>
      <c r="J115" s="32"/>
      <c r="K115" s="45"/>
      <c r="L115" s="33"/>
      <c r="M115" s="33"/>
      <c r="N115" s="33"/>
      <c r="O115" s="33"/>
      <c r="P115" s="50"/>
      <c r="Q115" s="32"/>
      <c r="R115" s="32"/>
      <c r="S115" s="32"/>
      <c r="T115" s="32"/>
      <c r="U115" s="45"/>
      <c r="V115" s="33"/>
      <c r="W115" s="33"/>
      <c r="X115" s="33"/>
      <c r="Y115" s="34"/>
      <c r="Z115" s="50"/>
      <c r="AA115" s="32"/>
      <c r="AB115" s="32"/>
      <c r="AC115" s="32"/>
      <c r="AD115" s="32"/>
      <c r="AE115" s="45"/>
      <c r="AF115" s="33"/>
      <c r="AG115" s="33"/>
      <c r="AH115" s="33"/>
      <c r="AI115" s="11" t="s">
        <v>53</v>
      </c>
      <c r="AJ115" s="50"/>
      <c r="AK115" s="32"/>
      <c r="AL115" s="32"/>
      <c r="AM115" s="32"/>
      <c r="AN115" s="32"/>
      <c r="AO115" s="45"/>
      <c r="AP115" s="33"/>
      <c r="AQ115" s="33"/>
      <c r="AR115" s="33"/>
      <c r="AS115" s="46"/>
      <c r="AT115" s="32"/>
      <c r="AU115" s="32"/>
      <c r="AV115" s="32"/>
      <c r="AW115" s="32"/>
      <c r="AX115" s="32"/>
      <c r="AY115" s="45"/>
      <c r="AZ115" s="33"/>
      <c r="BA115" s="33"/>
      <c r="BB115" s="33"/>
      <c r="BC115" s="46"/>
      <c r="BD115" s="32"/>
      <c r="BE115" s="32"/>
      <c r="BF115" s="32"/>
      <c r="BG115" s="32"/>
      <c r="BH115" s="51"/>
      <c r="BI115" s="33"/>
      <c r="BJ115" s="33"/>
      <c r="BK115" s="33"/>
      <c r="BL115" s="33"/>
      <c r="BM115" s="46"/>
      <c r="BN115" s="32"/>
      <c r="BO115" s="32"/>
      <c r="BP115" s="32"/>
      <c r="BQ115" s="32"/>
      <c r="BR115" s="51"/>
      <c r="BS115" s="33"/>
      <c r="BT115" s="33"/>
      <c r="BU115" s="52" t="s">
        <v>54</v>
      </c>
      <c r="BV115" s="33"/>
      <c r="BW115" s="46"/>
      <c r="BX115" s="50"/>
      <c r="BY115" s="32"/>
      <c r="BZ115" s="32"/>
      <c r="CA115" s="32"/>
      <c r="CB115" s="51"/>
      <c r="CC115" s="33"/>
      <c r="CD115" s="33"/>
      <c r="CE115" s="33"/>
      <c r="CF115" s="33"/>
      <c r="CG115" s="46"/>
    </row>
    <row r="116" spans="1:85" s="708" customFormat="1" ht="32.25">
      <c r="A116" s="726" t="s">
        <v>305</v>
      </c>
      <c r="B116" s="724" t="s">
        <v>306</v>
      </c>
      <c r="C116" s="740"/>
      <c r="D116" s="741"/>
      <c r="E116" s="742"/>
      <c r="F116" s="691" t="s">
        <v>2</v>
      </c>
      <c r="G116" s="692"/>
      <c r="H116" s="692"/>
      <c r="I116" s="692"/>
      <c r="J116" s="692"/>
      <c r="K116" s="693" t="s">
        <v>2</v>
      </c>
      <c r="L116" s="694"/>
      <c r="M116" s="694"/>
      <c r="N116" s="694"/>
      <c r="O116" s="694"/>
      <c r="P116" s="691" t="s">
        <v>2</v>
      </c>
      <c r="Q116" s="695"/>
      <c r="R116" s="692"/>
      <c r="S116" s="692"/>
      <c r="T116" s="692"/>
      <c r="U116" s="696"/>
      <c r="V116" s="694"/>
      <c r="W116" s="697" t="s">
        <v>2</v>
      </c>
      <c r="X116" s="697"/>
      <c r="Y116" s="698"/>
      <c r="Z116" s="691"/>
      <c r="AA116" s="695"/>
      <c r="AB116" s="695" t="s">
        <v>2</v>
      </c>
      <c r="AC116" s="695"/>
      <c r="AD116" s="695"/>
      <c r="AE116" s="696"/>
      <c r="AF116" s="694"/>
      <c r="AG116" s="697" t="s">
        <v>2</v>
      </c>
      <c r="AH116" s="697"/>
      <c r="AI116" s="699" t="s">
        <v>53</v>
      </c>
      <c r="AJ116" s="700"/>
      <c r="AK116" s="692"/>
      <c r="AL116" s="695" t="s">
        <v>2</v>
      </c>
      <c r="AM116" s="695"/>
      <c r="AN116" s="692"/>
      <c r="AO116" s="696"/>
      <c r="AP116" s="694"/>
      <c r="AQ116" s="697" t="s">
        <v>2</v>
      </c>
      <c r="AR116" s="697"/>
      <c r="AS116" s="701"/>
      <c r="AT116" s="702"/>
      <c r="AU116" s="692"/>
      <c r="AV116" s="695" t="s">
        <v>2</v>
      </c>
      <c r="AW116" s="695"/>
      <c r="AX116" s="702"/>
      <c r="AY116" s="703"/>
      <c r="AZ116" s="694"/>
      <c r="BA116" s="697" t="s">
        <v>2</v>
      </c>
      <c r="BB116" s="697"/>
      <c r="BC116" s="704"/>
      <c r="BD116" s="702"/>
      <c r="BE116" s="692"/>
      <c r="BF116" s="695" t="s">
        <v>2</v>
      </c>
      <c r="BG116" s="695"/>
      <c r="BH116" s="705"/>
      <c r="BI116" s="694"/>
      <c r="BJ116" s="694"/>
      <c r="BK116" s="697" t="s">
        <v>2</v>
      </c>
      <c r="BL116" s="697"/>
      <c r="BM116" s="701"/>
      <c r="BN116" s="692"/>
      <c r="BO116" s="692"/>
      <c r="BP116" s="695" t="s">
        <v>2</v>
      </c>
      <c r="BQ116" s="695"/>
      <c r="BR116" s="705"/>
      <c r="BS116" s="694"/>
      <c r="BT116" s="694"/>
      <c r="BU116" s="706" t="s">
        <v>54</v>
      </c>
      <c r="BV116" s="697"/>
      <c r="BW116" s="701"/>
      <c r="BX116" s="700"/>
      <c r="BY116" s="692"/>
      <c r="BZ116" s="695" t="s">
        <v>2</v>
      </c>
      <c r="CA116" s="695"/>
      <c r="CB116" s="707" t="s">
        <v>2</v>
      </c>
      <c r="CC116" s="694"/>
      <c r="CD116" s="694"/>
      <c r="CE116" s="694"/>
      <c r="CF116" s="694"/>
      <c r="CG116" s="701"/>
    </row>
    <row r="117" spans="1:85" s="708" customFormat="1" ht="48.75">
      <c r="A117" s="727" t="s">
        <v>307</v>
      </c>
      <c r="B117" s="725" t="s">
        <v>308</v>
      </c>
      <c r="C117" s="728"/>
      <c r="D117" s="709"/>
      <c r="E117" s="710"/>
      <c r="F117" s="711"/>
      <c r="G117" s="59"/>
      <c r="H117" s="59"/>
      <c r="I117" s="59"/>
      <c r="J117" s="59"/>
      <c r="K117" s="712"/>
      <c r="L117" s="713"/>
      <c r="M117" s="713"/>
      <c r="N117" s="713"/>
      <c r="O117" s="713"/>
      <c r="P117" s="711"/>
      <c r="Q117" s="54"/>
      <c r="R117" s="59"/>
      <c r="S117" s="59"/>
      <c r="T117" s="59"/>
      <c r="U117" s="714"/>
      <c r="V117" s="713"/>
      <c r="W117" s="698"/>
      <c r="X117" s="698"/>
      <c r="Y117" s="698"/>
      <c r="Z117" s="711"/>
      <c r="AA117" s="54"/>
      <c r="AB117" s="54"/>
      <c r="AC117" s="54"/>
      <c r="AD117" s="54"/>
      <c r="AE117" s="714"/>
      <c r="AF117" s="713"/>
      <c r="AG117" s="698"/>
      <c r="AH117" s="698"/>
      <c r="AI117" s="699" t="s">
        <v>53</v>
      </c>
      <c r="AJ117" s="715"/>
      <c r="AK117" s="59"/>
      <c r="AL117" s="54"/>
      <c r="AM117" s="54"/>
      <c r="AN117" s="59"/>
      <c r="AO117" s="714"/>
      <c r="AP117" s="713"/>
      <c r="AQ117" s="698"/>
      <c r="AR117" s="698"/>
      <c r="AS117" s="716"/>
      <c r="AU117" s="59"/>
      <c r="AV117" s="54"/>
      <c r="AW117" s="54"/>
      <c r="AY117" s="717"/>
      <c r="AZ117" s="713"/>
      <c r="BA117" s="698"/>
      <c r="BB117" s="698"/>
      <c r="BC117" s="718"/>
      <c r="BE117" s="59"/>
      <c r="BF117" s="54"/>
      <c r="BG117" s="54"/>
      <c r="BH117" s="719"/>
      <c r="BI117" s="713"/>
      <c r="BJ117" s="713"/>
      <c r="BK117" s="698"/>
      <c r="BL117" s="698"/>
      <c r="BM117" s="716"/>
      <c r="BN117" s="59"/>
      <c r="BO117" s="59"/>
      <c r="BP117" s="54"/>
      <c r="BQ117" s="54"/>
      <c r="BR117" s="719"/>
      <c r="BS117" s="713"/>
      <c r="BT117" s="713"/>
      <c r="BU117" s="720" t="s">
        <v>54</v>
      </c>
      <c r="BV117" s="698"/>
      <c r="BW117" s="716"/>
      <c r="BX117" s="715"/>
      <c r="BY117" s="59"/>
      <c r="BZ117" s="54"/>
      <c r="CA117" s="54"/>
      <c r="CB117" s="721"/>
      <c r="CC117" s="713"/>
      <c r="CD117" s="713"/>
      <c r="CE117" s="713"/>
      <c r="CF117" s="713"/>
      <c r="CG117" s="716"/>
    </row>
    <row r="118" spans="1:85" s="708" customFormat="1" ht="32.25">
      <c r="A118" s="722" t="s">
        <v>309</v>
      </c>
      <c r="B118" s="730" t="s">
        <v>310</v>
      </c>
      <c r="C118" s="723"/>
      <c r="D118" s="723"/>
      <c r="E118" s="723"/>
    </row>
  </sheetData>
  <conditionalFormatting sqref="F31:J35">
    <cfRule type="colorScale" priority="5">
      <colorScale>
        <cfvo type="min"/>
        <cfvo type="max"/>
        <color rgb="FFF8696B"/>
        <color rgb="FFFCFCFF"/>
      </colorScale>
    </cfRule>
    <cfRule type="colorScale" priority="6">
      <colorScale>
        <cfvo type="min"/>
        <cfvo type="max"/>
        <color rgb="FF63BE7B"/>
        <color rgb="FFFCFCFF"/>
      </colorScale>
    </cfRule>
  </conditionalFormatting>
  <conditionalFormatting sqref="G31:G35">
    <cfRule type="colorScale" priority="9">
      <colorScale>
        <cfvo type="min"/>
        <cfvo type="max"/>
        <color rgb="FFF8696B"/>
        <color rgb="FFFCFCFF"/>
      </colorScale>
    </cfRule>
  </conditionalFormatting>
  <conditionalFormatting sqref="AY32">
    <cfRule type="colorScale" priority="4">
      <colorScale>
        <cfvo type="min"/>
        <cfvo type="max"/>
        <color rgb="FFFFEF9C"/>
        <color rgb="FF63BE7B"/>
      </colorScale>
    </cfRule>
  </conditionalFormatting>
  <hyperlinks>
    <hyperlink ref="A3" r:id="rId1" xr:uid="{C2B634FD-F576-4351-89DA-B6BCC4C46BD9}"/>
    <hyperlink ref="C73" r:id="rId2" xr:uid="{CC4983B7-BA86-4759-93C4-3FFDEECA7820}"/>
    <hyperlink ref="C45" r:id="rId3" xr:uid="{A0BB1687-E08F-4571-B280-9BBF0B8F7890}"/>
    <hyperlink ref="D82" r:id="rId4" display="Rétroplanning Organisation-Activity-Phase ERP 7 V 0.5,.xlsm" xr:uid="{6CA8CA17-BD65-43AF-A9F0-9FDBD01B284F}"/>
    <hyperlink ref="C30" r:id="rId5" xr:uid="{56DEA2AA-C8FB-4D9B-AEA2-2E37BF0834B4}"/>
    <hyperlink ref="C46" r:id="rId6" xr:uid="{04810342-3268-408E-A4C4-00ECB3233C75}"/>
    <hyperlink ref="C43" r:id="rId7" xr:uid="{77981279-8308-43AF-A65E-20FB6A2D6A6B}"/>
    <hyperlink ref="C34" r:id="rId8" xr:uid="{CA3AC962-BAC1-4ACE-8131-17403497F1E5}"/>
    <hyperlink ref="C40" r:id="rId9" xr:uid="{493858FF-D088-4004-B3A5-8049CA199D84}"/>
    <hyperlink ref="A4" r:id="rId10" xr:uid="{77B1D86F-50FB-4AF0-9CF1-A605FB6333ED}"/>
    <hyperlink ref="C29" r:id="rId11" xr:uid="{2C22DC6C-FE74-4A41-A7EB-BB10E7738F81}"/>
    <hyperlink ref="C36" r:id="rId12" xr:uid="{B8FBEFF2-FD0E-4FBC-AE05-8545B11B63AD}"/>
    <hyperlink ref="C27" r:id="rId13" xr:uid="{A5B63762-8B9F-44C2-8516-489ED7BF9647}"/>
    <hyperlink ref="C28" r:id="rId14" xr:uid="{B52F95D8-4A79-485A-9A49-4A135ECF7C91}"/>
    <hyperlink ref="C31" r:id="rId15" xr:uid="{8FB7A5BE-009B-4F8E-BD5E-D23AACAAB9EA}"/>
    <hyperlink ref="C38" r:id="rId16" xr:uid="{08AB9A64-FF1F-4A89-A1CE-F9FFD005B119}"/>
    <hyperlink ref="C42" r:id="rId17" xr:uid="{34FB0CD2-846E-4A3F-B25B-9B5CA2294206}"/>
    <hyperlink ref="C47" r:id="rId18" xr:uid="{4FAB1763-20A9-46F3-8ADC-E10CE743166F}"/>
    <hyperlink ref="C41" r:id="rId19" xr:uid="{C065E1E9-8832-4EC2-9DBC-50C787788F8C}"/>
    <hyperlink ref="C82" r:id="rId20" xr:uid="{8E17EF50-731A-4B72-A2FB-EE20E12BDD59}"/>
    <hyperlink ref="C55" r:id="rId21" xr:uid="{9C2BDC87-8C8D-45F3-88C3-200A5E66277E}"/>
    <hyperlink ref="D57" r:id="rId22" xr:uid="{D9403E36-2E86-46DC-80A1-43633BAE82EB}"/>
    <hyperlink ref="C49" r:id="rId23" xr:uid="{9C7A3C59-66F7-4BD7-995F-CA56A0470113}"/>
    <hyperlink ref="D58" r:id="rId24" xr:uid="{CA5AFCE2-78C0-4C61-B4E8-F1B84479142A}"/>
    <hyperlink ref="D59" r:id="rId25" xr:uid="{7BCAF19B-59A6-410E-83BF-09E4C240B1EB}"/>
    <hyperlink ref="C57" r:id="rId26" xr:uid="{CBDE62D5-7D55-4FF6-844F-EE98AD742C3D}"/>
    <hyperlink ref="D63" r:id="rId27" display="Rétroplanning Organisation-Activity-Phase ERP 7 V 0.5,.xlsm" xr:uid="{FD547DBB-DDEA-4CC9-A1C8-0570564C4A0E}"/>
    <hyperlink ref="C50" r:id="rId28" xr:uid="{388BBE08-9B34-40DB-BA4A-2D52F33725B4}"/>
    <hyperlink ref="C33" r:id="rId29" xr:uid="{28EA629D-D95B-4F1D-8045-CBFBC2402B47}"/>
    <hyperlink ref="C56" r:id="rId30" xr:uid="{B86BF5B4-2CB1-43B1-9759-A6F3AA42BC06}"/>
    <hyperlink ref="C59" r:id="rId31" xr:uid="{EDDE8304-2243-480E-9FD7-08BE98B0E829}"/>
    <hyperlink ref="D60" r:id="rId32" xr:uid="{372AE5AF-C538-40B2-94F5-B794574C4C60}"/>
    <hyperlink ref="C61" r:id="rId33" xr:uid="{B982A984-DC64-420B-BA5C-180292674AA3}"/>
    <hyperlink ref="C63" r:id="rId34" xr:uid="{B2AB0A72-6F4F-44B5-BF1A-E50554CE26A1}"/>
    <hyperlink ref="C64" r:id="rId35" xr:uid="{FA726C81-CD8E-460C-9ACF-E166E2029FC9}"/>
    <hyperlink ref="C62" r:id="rId36" xr:uid="{C776142F-7FD4-40E1-8B76-EA4D0E1136BB}"/>
    <hyperlink ref="C60" r:id="rId37" xr:uid="{D3A505F4-4374-40A1-81B8-41A35ADA9C5D}"/>
    <hyperlink ref="C84" r:id="rId38" xr:uid="{AFE9F623-E527-4CEB-85FC-4CC88667E49B}"/>
    <hyperlink ref="C65" r:id="rId39" xr:uid="{1EBC4D1E-5E66-44FF-8827-FEABF25FA596}"/>
    <hyperlink ref="C68" r:id="rId40" xr:uid="{94682385-3C98-4005-BC2C-F96CF28045F5}"/>
    <hyperlink ref="C69" r:id="rId41" xr:uid="{F6D7D29D-A48E-4764-8BD6-1764C383E6E5}"/>
    <hyperlink ref="C93" r:id="rId42" xr:uid="{191D05BE-BA82-440C-8AEE-4EB67ED1D829}"/>
    <hyperlink ref="C91" r:id="rId43" xr:uid="{B97A1271-605B-488A-AE6C-AEEB50B7938C}"/>
    <hyperlink ref="C92" r:id="rId44" xr:uid="{057511EA-E9EA-4677-B76C-07C7A90F5FBC}"/>
    <hyperlink ref="C97" r:id="rId45" xr:uid="{00496DFC-3FAA-468D-9796-343B8E7798EB}"/>
    <hyperlink ref="C94" r:id="rId46" xr:uid="{41BF476A-4399-4EE8-8CDE-9E8607CD14D5}"/>
    <hyperlink ref="C98" r:id="rId47" xr:uid="{33755A09-6584-4185-B965-D0752D2DF4EE}"/>
    <hyperlink ref="C96" r:id="rId48" xr:uid="{0C99ABEA-4352-4377-879B-E2922301100B}"/>
  </hyperlink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6B43-FB17-472E-B47B-1D2DFE9D1F59}">
  <dimension ref="A1:S10"/>
  <sheetViews>
    <sheetView topLeftCell="I5" workbookViewId="0">
      <selection activeCell="P5" sqref="P5"/>
    </sheetView>
  </sheetViews>
  <sheetFormatPr defaultRowHeight="15"/>
  <cols>
    <col min="1" max="1" width="12.42578125" customWidth="1"/>
    <col min="2" max="2" width="30.28515625" customWidth="1"/>
    <col min="3" max="3" width="35" customWidth="1"/>
    <col min="4" max="4" width="38.7109375" style="136" customWidth="1"/>
    <col min="5" max="5" width="56" customWidth="1"/>
    <col min="6" max="6" width="14.140625" customWidth="1"/>
    <col min="7" max="7" width="13.140625" customWidth="1"/>
    <col min="8" max="8" width="37.5703125" customWidth="1"/>
    <col min="9" max="9" width="36.85546875" customWidth="1"/>
    <col min="10" max="10" width="62.140625" customWidth="1"/>
    <col min="11" max="11" width="25.5703125" customWidth="1"/>
    <col min="12" max="12" width="22.28515625" customWidth="1"/>
    <col min="13" max="13" width="11.85546875" customWidth="1"/>
    <col min="14" max="14" width="11.42578125" customWidth="1"/>
    <col min="15" max="15" width="43.7109375" customWidth="1"/>
    <col min="16" max="16" width="25" customWidth="1"/>
  </cols>
  <sheetData>
    <row r="1" spans="1:19">
      <c r="B1" s="751" t="s">
        <v>31</v>
      </c>
      <c r="C1" s="752"/>
      <c r="D1" s="759"/>
      <c r="E1" s="752"/>
      <c r="F1" s="752"/>
      <c r="G1" s="752"/>
      <c r="H1" s="752"/>
      <c r="I1" s="764"/>
      <c r="J1" s="752"/>
      <c r="K1" s="752"/>
      <c r="L1" s="756" t="s">
        <v>32</v>
      </c>
      <c r="M1" s="757"/>
      <c r="N1" s="757"/>
      <c r="O1" s="757"/>
      <c r="P1" s="757"/>
      <c r="Q1" s="757"/>
      <c r="R1" s="757"/>
      <c r="S1" s="758"/>
    </row>
    <row r="2" spans="1:19" s="104" customFormat="1">
      <c r="B2" s="770">
        <v>21</v>
      </c>
      <c r="C2" s="770">
        <v>22</v>
      </c>
      <c r="D2" s="771">
        <v>23</v>
      </c>
      <c r="E2" s="770">
        <v>24</v>
      </c>
      <c r="F2" s="770">
        <v>25</v>
      </c>
      <c r="G2" s="770">
        <v>26</v>
      </c>
      <c r="H2" s="772">
        <v>27</v>
      </c>
      <c r="I2" s="773">
        <v>28</v>
      </c>
      <c r="J2" s="774">
        <v>29</v>
      </c>
      <c r="K2" s="772">
        <v>30</v>
      </c>
      <c r="L2" s="775">
        <v>1</v>
      </c>
      <c r="M2" s="775">
        <v>2</v>
      </c>
      <c r="N2" s="775">
        <v>3</v>
      </c>
      <c r="O2" s="775">
        <v>4</v>
      </c>
      <c r="P2" s="775">
        <v>5</v>
      </c>
      <c r="Q2" s="775">
        <v>6</v>
      </c>
      <c r="R2" s="775">
        <v>7</v>
      </c>
      <c r="S2" s="775">
        <v>8</v>
      </c>
    </row>
    <row r="3" spans="1:19" s="1" customFormat="1" ht="121.5">
      <c r="A3" s="776" t="s">
        <v>67</v>
      </c>
      <c r="B3" s="769" t="s">
        <v>311</v>
      </c>
      <c r="C3" s="760" t="s">
        <v>312</v>
      </c>
      <c r="D3" s="761" t="s">
        <v>313</v>
      </c>
      <c r="E3" s="766" t="s">
        <v>314</v>
      </c>
      <c r="F3" s="765" t="s">
        <v>315</v>
      </c>
      <c r="G3" s="765" t="s">
        <v>315</v>
      </c>
      <c r="H3" s="762" t="s">
        <v>316</v>
      </c>
      <c r="I3" s="763" t="s">
        <v>317</v>
      </c>
      <c r="J3" s="777" t="s">
        <v>318</v>
      </c>
      <c r="K3" s="792" t="s">
        <v>319</v>
      </c>
      <c r="L3" s="793" t="s">
        <v>319</v>
      </c>
      <c r="M3" s="778" t="s">
        <v>315</v>
      </c>
      <c r="N3" s="779" t="s">
        <v>315</v>
      </c>
      <c r="O3" s="794" t="s">
        <v>320</v>
      </c>
      <c r="P3" s="796" t="s">
        <v>321</v>
      </c>
      <c r="Q3" s="30"/>
      <c r="R3" s="30"/>
      <c r="S3" s="30"/>
    </row>
    <row r="4" spans="1:19" s="1" customFormat="1" ht="91.5">
      <c r="A4" s="633" t="s">
        <v>322</v>
      </c>
      <c r="B4" s="780" t="s">
        <v>323</v>
      </c>
      <c r="C4" s="781" t="s">
        <v>324</v>
      </c>
      <c r="D4" s="781" t="s">
        <v>325</v>
      </c>
      <c r="E4" s="782" t="s">
        <v>326</v>
      </c>
      <c r="F4" s="783" t="s">
        <v>315</v>
      </c>
      <c r="G4" s="783" t="s">
        <v>315</v>
      </c>
      <c r="H4" s="784" t="s">
        <v>327</v>
      </c>
      <c r="I4" s="791" t="s">
        <v>328</v>
      </c>
      <c r="J4" s="777" t="s">
        <v>329</v>
      </c>
      <c r="K4" s="793" t="s">
        <v>319</v>
      </c>
      <c r="L4" s="619" t="s">
        <v>330</v>
      </c>
      <c r="M4" s="786" t="s">
        <v>315</v>
      </c>
      <c r="N4" s="787" t="s">
        <v>315</v>
      </c>
      <c r="O4" s="795" t="s">
        <v>331</v>
      </c>
      <c r="Q4" s="785"/>
      <c r="R4" s="785"/>
      <c r="S4" s="785"/>
    </row>
    <row r="5" spans="1:19" ht="336">
      <c r="A5" s="108" t="s">
        <v>332</v>
      </c>
      <c r="B5" s="10"/>
      <c r="C5" s="788" t="s">
        <v>333</v>
      </c>
      <c r="D5" s="789" t="s">
        <v>334</v>
      </c>
      <c r="E5" s="790" t="s">
        <v>335</v>
      </c>
      <c r="F5" s="406"/>
      <c r="G5" s="10"/>
      <c r="H5" s="10"/>
      <c r="I5" s="565" t="s">
        <v>336</v>
      </c>
      <c r="J5" s="788" t="s">
        <v>337</v>
      </c>
      <c r="K5" s="407"/>
      <c r="L5" s="797" t="s">
        <v>338</v>
      </c>
      <c r="M5" s="10"/>
      <c r="N5" s="10"/>
      <c r="O5" s="801" t="s">
        <v>339</v>
      </c>
      <c r="P5" s="10" t="s">
        <v>340</v>
      </c>
      <c r="Q5" s="10"/>
      <c r="R5" s="10"/>
      <c r="S5" s="10"/>
    </row>
    <row r="10" spans="1:19">
      <c r="A10" t="s">
        <v>341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FDE0-6C45-4188-A573-198209410C35}">
  <dimension ref="A1:S145"/>
  <sheetViews>
    <sheetView topLeftCell="A29" workbookViewId="0">
      <selection activeCell="A112" sqref="A112:C112"/>
    </sheetView>
  </sheetViews>
  <sheetFormatPr defaultRowHeight="15"/>
  <cols>
    <col min="1" max="1" width="23.140625" style="252" customWidth="1"/>
    <col min="2" max="2" width="23.7109375" style="177" customWidth="1"/>
    <col min="3" max="3" width="9.140625" style="178"/>
    <col min="4" max="4" width="18.42578125" style="303" customWidth="1"/>
    <col min="5" max="5" width="9.140625" style="314"/>
    <col min="6" max="6" width="18.5703125" style="179" customWidth="1"/>
    <col min="7" max="7" width="9.140625" style="180"/>
    <col min="8" max="8" width="18.7109375" style="8" customWidth="1"/>
    <col min="9" max="9" width="9.140625" style="181"/>
    <col min="10" max="10" width="18.5703125" style="182" customWidth="1"/>
    <col min="11" max="11" width="9.140625" style="184"/>
    <col min="12" max="12" width="18.140625" style="183" customWidth="1"/>
    <col min="13" max="13" width="9.140625" style="185"/>
    <col min="14" max="14" width="18.42578125" style="324" customWidth="1"/>
    <col min="15" max="15" width="9.140625" style="333"/>
    <col min="16" max="16" width="17.85546875" style="352" customWidth="1"/>
    <col min="17" max="17" width="9.140625" style="352"/>
    <col min="18" max="18" width="16" customWidth="1"/>
    <col min="19" max="19" width="17.28515625" customWidth="1"/>
  </cols>
  <sheetData>
    <row r="1" spans="1:17" ht="46.5">
      <c r="A1" s="251" t="s">
        <v>342</v>
      </c>
      <c r="B1" s="103"/>
      <c r="C1" s="334"/>
      <c r="D1" s="334"/>
      <c r="E1" s="334"/>
      <c r="F1" s="103"/>
      <c r="G1" s="103"/>
      <c r="H1" s="103"/>
      <c r="I1"/>
      <c r="J1"/>
      <c r="K1"/>
      <c r="L1"/>
      <c r="M1"/>
      <c r="N1" s="16"/>
      <c r="O1" s="16"/>
      <c r="P1"/>
      <c r="Q1"/>
    </row>
    <row r="2" spans="1:17">
      <c r="B2"/>
      <c r="C2"/>
      <c r="D2" s="19"/>
      <c r="E2" s="19"/>
      <c r="F2"/>
      <c r="G2"/>
      <c r="H2"/>
      <c r="I2"/>
      <c r="J2"/>
      <c r="K2"/>
      <c r="L2"/>
      <c r="M2"/>
      <c r="N2" s="16"/>
      <c r="O2" s="16"/>
      <c r="P2"/>
      <c r="Q2"/>
    </row>
    <row r="3" spans="1:17" s="14" customFormat="1">
      <c r="A3" s="253"/>
      <c r="B3" s="241" t="s">
        <v>58</v>
      </c>
      <c r="C3" s="242"/>
      <c r="D3" s="294" t="s">
        <v>63</v>
      </c>
      <c r="E3" s="295"/>
      <c r="F3" s="243" t="s">
        <v>237</v>
      </c>
      <c r="G3" s="244"/>
      <c r="H3" s="245" t="s">
        <v>88</v>
      </c>
      <c r="I3" s="246"/>
      <c r="J3" s="247" t="s">
        <v>100</v>
      </c>
      <c r="K3" s="248"/>
      <c r="L3" s="249" t="s">
        <v>112</v>
      </c>
      <c r="M3" s="250"/>
      <c r="N3" s="315" t="s">
        <v>190</v>
      </c>
      <c r="O3" s="316"/>
      <c r="P3" s="336" t="s">
        <v>95</v>
      </c>
      <c r="Q3" s="337"/>
    </row>
    <row r="4" spans="1:17">
      <c r="A4" s="262" t="s">
        <v>343</v>
      </c>
      <c r="B4" s="263" t="s">
        <v>344</v>
      </c>
      <c r="C4" s="263" t="s">
        <v>345</v>
      </c>
      <c r="D4" s="296" t="s">
        <v>344</v>
      </c>
      <c r="E4" s="296" t="s">
        <v>345</v>
      </c>
      <c r="F4" s="264" t="s">
        <v>344</v>
      </c>
      <c r="G4" s="264" t="s">
        <v>345</v>
      </c>
      <c r="H4" s="265" t="s">
        <v>344</v>
      </c>
      <c r="I4" s="265" t="s">
        <v>345</v>
      </c>
      <c r="J4" s="266" t="s">
        <v>344</v>
      </c>
      <c r="K4" s="266" t="s">
        <v>345</v>
      </c>
      <c r="L4" s="267" t="s">
        <v>344</v>
      </c>
      <c r="M4" s="267" t="s">
        <v>345</v>
      </c>
      <c r="N4" s="317" t="s">
        <v>344</v>
      </c>
      <c r="O4" s="317" t="s">
        <v>345</v>
      </c>
      <c r="P4" s="338" t="s">
        <v>344</v>
      </c>
      <c r="Q4" s="339" t="s">
        <v>345</v>
      </c>
    </row>
    <row r="5" spans="1:17">
      <c r="A5" s="261" t="s">
        <v>346</v>
      </c>
      <c r="B5" s="236"/>
      <c r="C5" s="236"/>
      <c r="D5" s="297"/>
      <c r="E5" s="297"/>
      <c r="F5" s="237"/>
      <c r="G5" s="237"/>
      <c r="H5" s="238"/>
      <c r="I5" s="238"/>
      <c r="J5" s="239"/>
      <c r="K5" s="239"/>
      <c r="L5" s="240"/>
      <c r="M5" s="240"/>
      <c r="N5" s="318"/>
      <c r="O5" s="318"/>
      <c r="P5" s="340"/>
      <c r="Q5" s="341"/>
    </row>
    <row r="6" spans="1:17">
      <c r="A6" s="268" t="s">
        <v>347</v>
      </c>
      <c r="B6" s="269"/>
      <c r="C6" s="269"/>
      <c r="D6" s="298"/>
      <c r="E6" s="298"/>
      <c r="F6" s="270"/>
      <c r="G6" s="270"/>
      <c r="H6" s="271"/>
      <c r="I6" s="271"/>
      <c r="J6" s="272"/>
      <c r="K6" s="272"/>
      <c r="L6" s="273"/>
      <c r="M6" s="273"/>
      <c r="N6" s="319"/>
      <c r="O6" s="319"/>
      <c r="P6" s="342"/>
      <c r="Q6" s="343"/>
    </row>
    <row r="7" spans="1:17">
      <c r="A7" s="268" t="s">
        <v>348</v>
      </c>
      <c r="B7" s="269"/>
      <c r="C7" s="269"/>
      <c r="D7" s="298"/>
      <c r="E7" s="298"/>
      <c r="F7" s="270"/>
      <c r="G7" s="270"/>
      <c r="H7" s="271"/>
      <c r="I7" s="271"/>
      <c r="J7" s="272"/>
      <c r="K7" s="272"/>
      <c r="L7" s="273"/>
      <c r="M7" s="273"/>
      <c r="N7" s="319"/>
      <c r="O7" s="319"/>
      <c r="P7" s="342"/>
      <c r="Q7" s="343"/>
    </row>
    <row r="8" spans="1:17">
      <c r="A8" s="268" t="s">
        <v>349</v>
      </c>
      <c r="B8" s="269"/>
      <c r="C8" s="269"/>
      <c r="D8" s="298"/>
      <c r="E8" s="298"/>
      <c r="F8" s="270"/>
      <c r="G8" s="270"/>
      <c r="H8" s="271"/>
      <c r="I8" s="271"/>
      <c r="J8" s="272"/>
      <c r="K8" s="272"/>
      <c r="L8" s="273"/>
      <c r="M8" s="273"/>
      <c r="N8" s="319"/>
      <c r="O8" s="319"/>
      <c r="P8" s="342"/>
      <c r="Q8" s="343"/>
    </row>
    <row r="9" spans="1:17">
      <c r="A9" s="268" t="s">
        <v>350</v>
      </c>
      <c r="B9" s="269"/>
      <c r="C9" s="269"/>
      <c r="D9" s="298"/>
      <c r="E9" s="298"/>
      <c r="F9" s="270"/>
      <c r="G9" s="270"/>
      <c r="H9" s="271"/>
      <c r="I9" s="271"/>
      <c r="J9" s="272"/>
      <c r="K9" s="272"/>
      <c r="L9" s="273"/>
      <c r="M9" s="273"/>
      <c r="N9" s="319"/>
      <c r="O9" s="319"/>
      <c r="P9" s="342"/>
      <c r="Q9" s="343"/>
    </row>
    <row r="10" spans="1:17" s="14" customFormat="1">
      <c r="A10" s="274" t="s">
        <v>351</v>
      </c>
      <c r="B10" s="520" t="s">
        <v>352</v>
      </c>
      <c r="C10" s="520">
        <v>3</v>
      </c>
      <c r="D10" s="299" t="s">
        <v>352</v>
      </c>
      <c r="E10" s="299">
        <v>3</v>
      </c>
      <c r="F10" s="232" t="s">
        <v>352</v>
      </c>
      <c r="G10" s="232">
        <v>3</v>
      </c>
      <c r="H10" s="233" t="s">
        <v>352</v>
      </c>
      <c r="I10" s="233">
        <v>3</v>
      </c>
      <c r="J10" s="234" t="s">
        <v>352</v>
      </c>
      <c r="K10" s="234">
        <v>3</v>
      </c>
      <c r="L10" s="235" t="s">
        <v>352</v>
      </c>
      <c r="M10" s="235">
        <v>3</v>
      </c>
      <c r="N10" s="320" t="s">
        <v>352</v>
      </c>
      <c r="O10" s="320">
        <v>3</v>
      </c>
      <c r="P10" s="344" t="s">
        <v>352</v>
      </c>
      <c r="Q10" s="345">
        <v>3</v>
      </c>
    </row>
    <row r="11" spans="1:17" s="14" customFormat="1">
      <c r="A11" s="261" t="s">
        <v>353</v>
      </c>
      <c r="B11" s="521"/>
      <c r="C11" s="521"/>
      <c r="D11" s="300"/>
      <c r="E11" s="300"/>
      <c r="F11" s="216"/>
      <c r="G11" s="216"/>
      <c r="H11" s="217"/>
      <c r="I11" s="217"/>
      <c r="J11" s="218"/>
      <c r="K11" s="218"/>
      <c r="L11" s="219"/>
      <c r="M11" s="219"/>
      <c r="N11" s="321"/>
      <c r="O11" s="321"/>
      <c r="P11" s="346"/>
      <c r="Q11" s="347"/>
    </row>
    <row r="12" spans="1:17" s="14" customFormat="1">
      <c r="A12" s="254" t="s">
        <v>354</v>
      </c>
      <c r="B12" s="522" t="s">
        <v>355</v>
      </c>
      <c r="C12" s="522">
        <v>2</v>
      </c>
      <c r="D12" s="301" t="s">
        <v>352</v>
      </c>
      <c r="E12" s="301">
        <v>3</v>
      </c>
      <c r="F12" s="212" t="s">
        <v>355</v>
      </c>
      <c r="G12" s="212">
        <v>2</v>
      </c>
      <c r="H12" s="213" t="s">
        <v>85</v>
      </c>
      <c r="I12" s="213">
        <v>3</v>
      </c>
      <c r="J12" s="214" t="s">
        <v>85</v>
      </c>
      <c r="K12" s="214">
        <v>3</v>
      </c>
      <c r="L12" s="215" t="s">
        <v>356</v>
      </c>
      <c r="M12" s="215">
        <v>0</v>
      </c>
      <c r="N12" s="322" t="s">
        <v>355</v>
      </c>
      <c r="O12" s="322">
        <v>2</v>
      </c>
      <c r="P12" s="348" t="s">
        <v>355</v>
      </c>
      <c r="Q12" s="349">
        <v>1</v>
      </c>
    </row>
    <row r="13" spans="1:17">
      <c r="A13" s="255"/>
      <c r="B13" s="523" t="s">
        <v>357</v>
      </c>
      <c r="C13" s="523">
        <v>1</v>
      </c>
      <c r="D13" s="302" t="s">
        <v>358</v>
      </c>
      <c r="E13" s="302">
        <v>1</v>
      </c>
      <c r="F13" s="222" t="s">
        <v>357</v>
      </c>
      <c r="G13" s="222">
        <v>2</v>
      </c>
      <c r="H13" s="223"/>
      <c r="I13" s="223"/>
      <c r="J13" s="224"/>
      <c r="K13" s="224"/>
      <c r="L13" s="225"/>
      <c r="M13" s="225"/>
      <c r="N13" s="323" t="s">
        <v>357</v>
      </c>
      <c r="O13" s="323">
        <v>2</v>
      </c>
      <c r="P13" s="350" t="s">
        <v>359</v>
      </c>
      <c r="Q13" s="351">
        <v>1</v>
      </c>
    </row>
    <row r="14" spans="1:17">
      <c r="A14" s="276" t="s">
        <v>360</v>
      </c>
      <c r="B14" s="524" t="s">
        <v>361</v>
      </c>
      <c r="C14" s="524">
        <v>4</v>
      </c>
      <c r="D14" s="297" t="s">
        <v>361</v>
      </c>
      <c r="E14" s="297">
        <v>4</v>
      </c>
      <c r="F14" s="237"/>
      <c r="G14" s="237" t="s">
        <v>362</v>
      </c>
      <c r="H14" s="238" t="s">
        <v>361</v>
      </c>
      <c r="I14" s="238">
        <v>4</v>
      </c>
      <c r="J14" s="239" t="s">
        <v>361</v>
      </c>
      <c r="K14" s="239">
        <v>4</v>
      </c>
      <c r="L14" s="240" t="s">
        <v>361</v>
      </c>
      <c r="M14" s="240">
        <v>4</v>
      </c>
      <c r="N14" s="318" t="s">
        <v>361</v>
      </c>
      <c r="O14" s="318">
        <v>4</v>
      </c>
      <c r="P14" s="340" t="s">
        <v>361</v>
      </c>
      <c r="Q14" s="341">
        <v>4</v>
      </c>
    </row>
    <row r="15" spans="1:17" s="14" customFormat="1">
      <c r="A15" s="254" t="s">
        <v>363</v>
      </c>
      <c r="B15" s="522" t="s">
        <v>364</v>
      </c>
      <c r="C15" s="522">
        <v>1</v>
      </c>
      <c r="D15" s="301" t="s">
        <v>365</v>
      </c>
      <c r="E15" s="301">
        <v>2</v>
      </c>
      <c r="F15" s="212" t="s">
        <v>364</v>
      </c>
      <c r="G15" s="212">
        <v>2</v>
      </c>
      <c r="H15" s="213" t="s">
        <v>85</v>
      </c>
      <c r="I15" s="213">
        <v>3</v>
      </c>
      <c r="J15" s="214" t="s">
        <v>364</v>
      </c>
      <c r="K15" s="214">
        <v>1.5</v>
      </c>
      <c r="L15" s="215" t="s">
        <v>108</v>
      </c>
      <c r="M15" s="215">
        <v>3</v>
      </c>
      <c r="N15" s="322" t="s">
        <v>357</v>
      </c>
      <c r="O15" s="322">
        <v>1.5</v>
      </c>
      <c r="P15" s="348" t="s">
        <v>365</v>
      </c>
      <c r="Q15" s="349">
        <v>1.5</v>
      </c>
    </row>
    <row r="16" spans="1:17">
      <c r="A16" s="257"/>
      <c r="B16" s="525" t="s">
        <v>366</v>
      </c>
      <c r="C16" s="525">
        <v>2</v>
      </c>
      <c r="D16" s="303" t="s">
        <v>366</v>
      </c>
      <c r="E16" s="303">
        <v>2</v>
      </c>
      <c r="F16" s="179" t="s">
        <v>366</v>
      </c>
      <c r="G16" s="179">
        <v>2</v>
      </c>
      <c r="H16" s="8" t="s">
        <v>367</v>
      </c>
      <c r="I16" s="8">
        <v>2</v>
      </c>
      <c r="J16" s="198" t="s">
        <v>367</v>
      </c>
      <c r="K16" s="198">
        <v>2</v>
      </c>
      <c r="L16" s="183" t="s">
        <v>367</v>
      </c>
      <c r="M16" s="183">
        <v>2</v>
      </c>
      <c r="N16" s="324" t="s">
        <v>367</v>
      </c>
      <c r="O16" s="324">
        <v>2</v>
      </c>
      <c r="P16" s="352" t="s">
        <v>367</v>
      </c>
      <c r="Q16" s="353">
        <v>2</v>
      </c>
    </row>
    <row r="17" spans="1:17">
      <c r="A17" s="260"/>
      <c r="B17" s="526" t="s">
        <v>368</v>
      </c>
      <c r="C17" s="526">
        <v>1</v>
      </c>
      <c r="D17" s="304"/>
      <c r="E17" s="304"/>
      <c r="F17" s="204"/>
      <c r="G17" s="204"/>
      <c r="H17" s="205"/>
      <c r="I17" s="220"/>
      <c r="J17" s="206" t="s">
        <v>85</v>
      </c>
      <c r="K17" s="206">
        <v>2</v>
      </c>
      <c r="L17" s="207"/>
      <c r="M17" s="221"/>
      <c r="N17" s="325"/>
      <c r="O17" s="325"/>
      <c r="P17" s="354" t="s">
        <v>135</v>
      </c>
      <c r="Q17" s="355">
        <v>1</v>
      </c>
    </row>
    <row r="18" spans="1:17" s="14" customFormat="1">
      <c r="A18" s="254" t="s">
        <v>369</v>
      </c>
      <c r="B18" s="522" t="s">
        <v>96</v>
      </c>
      <c r="C18" s="522">
        <v>3</v>
      </c>
      <c r="D18" s="301" t="s">
        <v>108</v>
      </c>
      <c r="E18" s="305">
        <v>0.5</v>
      </c>
      <c r="F18" s="212" t="s">
        <v>370</v>
      </c>
      <c r="G18" s="212">
        <v>4</v>
      </c>
      <c r="H18" s="213" t="s">
        <v>96</v>
      </c>
      <c r="I18" s="213">
        <v>3</v>
      </c>
      <c r="J18" s="214" t="s">
        <v>96</v>
      </c>
      <c r="K18" s="214">
        <v>3</v>
      </c>
      <c r="L18" s="215" t="s">
        <v>108</v>
      </c>
      <c r="M18" s="215">
        <v>3</v>
      </c>
      <c r="N18" s="322" t="s">
        <v>357</v>
      </c>
      <c r="O18" s="322">
        <v>3</v>
      </c>
      <c r="P18" s="348" t="s">
        <v>135</v>
      </c>
      <c r="Q18" s="349">
        <v>3</v>
      </c>
    </row>
    <row r="19" spans="1:17" s="14" customFormat="1">
      <c r="A19" s="258"/>
      <c r="B19" s="527"/>
      <c r="C19" s="527"/>
      <c r="D19" s="302" t="s">
        <v>135</v>
      </c>
      <c r="E19" s="306">
        <v>0.5</v>
      </c>
      <c r="F19" s="208"/>
      <c r="G19" s="208"/>
      <c r="H19" s="209"/>
      <c r="I19" s="209"/>
      <c r="J19" s="210"/>
      <c r="K19" s="210"/>
      <c r="L19" s="211"/>
      <c r="M19" s="211"/>
      <c r="N19" s="326"/>
      <c r="O19" s="326"/>
      <c r="P19" s="356"/>
      <c r="Q19" s="357"/>
    </row>
    <row r="20" spans="1:17" s="14" customFormat="1">
      <c r="A20" s="259" t="s">
        <v>371</v>
      </c>
      <c r="B20" s="528" t="s">
        <v>372</v>
      </c>
      <c r="C20" s="528">
        <v>4</v>
      </c>
      <c r="D20" s="307" t="s">
        <v>372</v>
      </c>
      <c r="E20" s="307">
        <v>4</v>
      </c>
      <c r="F20" s="226" t="s">
        <v>372</v>
      </c>
      <c r="G20" s="226">
        <v>4</v>
      </c>
      <c r="H20" s="227" t="s">
        <v>372</v>
      </c>
      <c r="I20" s="227">
        <v>4</v>
      </c>
      <c r="J20" s="228" t="s">
        <v>372</v>
      </c>
      <c r="K20" s="228">
        <v>4</v>
      </c>
      <c r="L20" s="229" t="s">
        <v>372</v>
      </c>
      <c r="M20" s="229">
        <v>4</v>
      </c>
      <c r="N20" s="327" t="s">
        <v>372</v>
      </c>
      <c r="O20" s="327">
        <v>4</v>
      </c>
      <c r="P20" s="358" t="s">
        <v>372</v>
      </c>
      <c r="Q20" s="359">
        <v>4</v>
      </c>
    </row>
    <row r="21" spans="1:17" s="14" customFormat="1">
      <c r="A21" s="256" t="s">
        <v>373</v>
      </c>
      <c r="B21" s="529" t="s">
        <v>374</v>
      </c>
      <c r="C21" s="529">
        <v>3</v>
      </c>
      <c r="D21" s="308" t="s">
        <v>375</v>
      </c>
      <c r="E21" s="308">
        <v>3</v>
      </c>
      <c r="F21" s="200" t="s">
        <v>375</v>
      </c>
      <c r="G21" s="200">
        <v>3</v>
      </c>
      <c r="H21" s="201" t="s">
        <v>96</v>
      </c>
      <c r="I21" s="201">
        <v>1</v>
      </c>
      <c r="J21" s="202" t="s">
        <v>96</v>
      </c>
      <c r="K21" s="202">
        <v>3</v>
      </c>
      <c r="L21" s="203" t="s">
        <v>108</v>
      </c>
      <c r="M21" s="203">
        <v>3</v>
      </c>
      <c r="N21" s="328" t="s">
        <v>375</v>
      </c>
      <c r="O21" s="328">
        <v>3</v>
      </c>
      <c r="P21" s="360" t="s">
        <v>375</v>
      </c>
      <c r="Q21" s="361">
        <v>3</v>
      </c>
    </row>
    <row r="22" spans="1:17">
      <c r="A22" s="255"/>
      <c r="B22" s="523" t="s">
        <v>357</v>
      </c>
      <c r="C22" s="523">
        <v>1</v>
      </c>
      <c r="D22" s="302"/>
      <c r="E22" s="302"/>
      <c r="F22" s="222"/>
      <c r="G22" s="222"/>
      <c r="H22" s="223"/>
      <c r="I22" s="223"/>
      <c r="J22" s="224"/>
      <c r="K22" s="224"/>
      <c r="L22" s="225"/>
      <c r="M22" s="225"/>
      <c r="N22" s="323"/>
      <c r="O22" s="323"/>
      <c r="P22" s="350"/>
      <c r="Q22" s="351"/>
    </row>
    <row r="23" spans="1:17" s="14" customFormat="1">
      <c r="A23" s="256" t="s">
        <v>376</v>
      </c>
      <c r="B23" s="529" t="s">
        <v>96</v>
      </c>
      <c r="C23" s="529">
        <v>1</v>
      </c>
      <c r="D23" s="308" t="s">
        <v>375</v>
      </c>
      <c r="E23" s="309">
        <v>2</v>
      </c>
      <c r="F23" s="200" t="s">
        <v>375</v>
      </c>
      <c r="G23" s="200">
        <v>2</v>
      </c>
      <c r="H23" s="201" t="s">
        <v>96</v>
      </c>
      <c r="I23" s="201">
        <v>3</v>
      </c>
      <c r="J23" s="202" t="s">
        <v>96</v>
      </c>
      <c r="K23" s="202">
        <v>2</v>
      </c>
      <c r="L23" s="203" t="s">
        <v>108</v>
      </c>
      <c r="M23" s="203">
        <v>2</v>
      </c>
      <c r="N23" s="328" t="s">
        <v>375</v>
      </c>
      <c r="O23" s="328">
        <v>2</v>
      </c>
      <c r="P23" s="360" t="s">
        <v>375</v>
      </c>
      <c r="Q23" s="361">
        <v>2</v>
      </c>
    </row>
    <row r="24" spans="1:17">
      <c r="A24" s="257"/>
      <c r="B24" s="525" t="s">
        <v>361</v>
      </c>
      <c r="C24" s="525">
        <v>2</v>
      </c>
      <c r="D24" s="303" t="s">
        <v>361</v>
      </c>
      <c r="E24" s="303">
        <v>2</v>
      </c>
      <c r="F24" s="179" t="s">
        <v>361</v>
      </c>
      <c r="G24" s="179">
        <v>2</v>
      </c>
      <c r="H24" s="8" t="s">
        <v>361</v>
      </c>
      <c r="I24" s="8">
        <v>2</v>
      </c>
      <c r="J24" s="198" t="s">
        <v>361</v>
      </c>
      <c r="K24" s="198">
        <v>2</v>
      </c>
      <c r="L24" s="183" t="s">
        <v>361</v>
      </c>
      <c r="M24" s="183">
        <v>2</v>
      </c>
      <c r="N24" s="324" t="s">
        <v>361</v>
      </c>
      <c r="O24" s="324">
        <v>2</v>
      </c>
      <c r="P24" s="352" t="s">
        <v>361</v>
      </c>
      <c r="Q24" s="353">
        <v>2</v>
      </c>
    </row>
    <row r="25" spans="1:17">
      <c r="A25" s="255"/>
      <c r="B25" s="523" t="s">
        <v>377</v>
      </c>
      <c r="C25" s="523">
        <v>1</v>
      </c>
      <c r="D25" s="310" t="s">
        <v>375</v>
      </c>
      <c r="E25" s="302">
        <v>3</v>
      </c>
      <c r="F25" s="208" t="s">
        <v>375</v>
      </c>
      <c r="G25" s="222">
        <v>1.5</v>
      </c>
      <c r="H25" s="223"/>
      <c r="I25" s="223"/>
      <c r="J25" s="210" t="s">
        <v>96</v>
      </c>
      <c r="K25" s="224">
        <v>3</v>
      </c>
      <c r="L25" s="211" t="s">
        <v>108</v>
      </c>
      <c r="M25" s="225">
        <v>3</v>
      </c>
      <c r="N25" s="326" t="s">
        <v>375</v>
      </c>
      <c r="O25" s="323">
        <v>3</v>
      </c>
      <c r="P25" s="356" t="s">
        <v>375</v>
      </c>
      <c r="Q25" s="351">
        <v>3</v>
      </c>
    </row>
    <row r="26" spans="1:17" s="14" customFormat="1">
      <c r="A26" s="259" t="s">
        <v>378</v>
      </c>
      <c r="B26" s="528" t="s">
        <v>379</v>
      </c>
      <c r="C26" s="528">
        <v>0.5</v>
      </c>
      <c r="D26" s="307" t="s">
        <v>375</v>
      </c>
      <c r="E26" s="307">
        <v>7</v>
      </c>
      <c r="F26" s="226" t="s">
        <v>375</v>
      </c>
      <c r="G26" s="226">
        <v>7</v>
      </c>
      <c r="H26" s="279" t="s">
        <v>380</v>
      </c>
      <c r="I26" s="227">
        <v>3</v>
      </c>
      <c r="J26" s="280" t="s">
        <v>381</v>
      </c>
      <c r="K26" s="228">
        <v>7</v>
      </c>
      <c r="L26" s="229" t="s">
        <v>381</v>
      </c>
      <c r="M26" s="229">
        <v>3</v>
      </c>
      <c r="N26" s="327" t="s">
        <v>375</v>
      </c>
      <c r="O26" s="327">
        <v>7</v>
      </c>
      <c r="P26" s="358" t="s">
        <v>375</v>
      </c>
      <c r="Q26" s="359">
        <v>7</v>
      </c>
    </row>
    <row r="27" spans="1:17" s="14" customFormat="1">
      <c r="A27" s="261" t="s">
        <v>382</v>
      </c>
      <c r="B27" s="521"/>
      <c r="C27" s="521"/>
      <c r="D27" s="300" t="s">
        <v>375</v>
      </c>
      <c r="E27" s="300">
        <v>7</v>
      </c>
      <c r="F27" s="216" t="s">
        <v>375</v>
      </c>
      <c r="G27" s="216">
        <v>7</v>
      </c>
      <c r="H27" s="230"/>
      <c r="I27" s="217"/>
      <c r="J27" s="231"/>
      <c r="K27" s="218"/>
      <c r="L27" s="219" t="s">
        <v>381</v>
      </c>
      <c r="M27" s="219">
        <v>7</v>
      </c>
      <c r="N27" s="321" t="s">
        <v>375</v>
      </c>
      <c r="O27" s="321">
        <v>7</v>
      </c>
      <c r="P27" s="346" t="s">
        <v>375</v>
      </c>
      <c r="Q27" s="347">
        <v>7</v>
      </c>
    </row>
    <row r="28" spans="1:17" s="14" customFormat="1">
      <c r="A28" s="254" t="s">
        <v>383</v>
      </c>
      <c r="B28" s="522" t="s">
        <v>384</v>
      </c>
      <c r="C28" s="522">
        <v>1</v>
      </c>
      <c r="D28" s="311" t="s">
        <v>384</v>
      </c>
      <c r="E28" s="301">
        <v>1</v>
      </c>
      <c r="F28" s="277" t="s">
        <v>384</v>
      </c>
      <c r="G28" s="281">
        <v>1</v>
      </c>
      <c r="H28" s="282" t="s">
        <v>384</v>
      </c>
      <c r="I28" s="283">
        <v>1</v>
      </c>
      <c r="J28" s="291" t="s">
        <v>384</v>
      </c>
      <c r="K28" s="214">
        <v>1</v>
      </c>
      <c r="L28" s="292" t="s">
        <v>384</v>
      </c>
      <c r="M28" s="215">
        <v>1</v>
      </c>
      <c r="N28" s="329" t="s">
        <v>384</v>
      </c>
      <c r="O28" s="322">
        <v>1</v>
      </c>
      <c r="P28" s="342" t="s">
        <v>384</v>
      </c>
      <c r="Q28" s="349">
        <v>1</v>
      </c>
    </row>
    <row r="29" spans="1:17">
      <c r="A29" s="275"/>
      <c r="B29" s="530" t="s">
        <v>96</v>
      </c>
      <c r="C29" s="531">
        <v>1</v>
      </c>
      <c r="D29" s="302" t="s">
        <v>96</v>
      </c>
      <c r="E29" s="312">
        <v>1</v>
      </c>
      <c r="F29" s="179" t="s">
        <v>96</v>
      </c>
      <c r="G29" s="290">
        <v>1</v>
      </c>
      <c r="H29" s="223" t="s">
        <v>96</v>
      </c>
      <c r="I29" s="278">
        <v>1</v>
      </c>
      <c r="J29" s="198" t="s">
        <v>96</v>
      </c>
      <c r="K29" s="335">
        <v>1</v>
      </c>
      <c r="L29" s="183" t="s">
        <v>96</v>
      </c>
      <c r="M29" s="293">
        <v>1</v>
      </c>
      <c r="N29" s="324" t="s">
        <v>96</v>
      </c>
      <c r="O29" s="330">
        <v>1</v>
      </c>
      <c r="P29" s="362" t="s">
        <v>96</v>
      </c>
      <c r="Q29" s="363">
        <v>1</v>
      </c>
    </row>
    <row r="30" spans="1:17">
      <c r="A30" s="275"/>
      <c r="B30" s="532" t="s">
        <v>385</v>
      </c>
      <c r="C30" s="533">
        <v>1</v>
      </c>
      <c r="D30" s="303" t="s">
        <v>385</v>
      </c>
      <c r="E30" s="313">
        <v>1</v>
      </c>
      <c r="F30" s="284" t="s">
        <v>385</v>
      </c>
      <c r="G30" s="285">
        <v>1</v>
      </c>
      <c r="H30" s="8" t="s">
        <v>385</v>
      </c>
      <c r="I30" s="286">
        <v>4.5</v>
      </c>
      <c r="J30" s="287" t="s">
        <v>385</v>
      </c>
      <c r="K30" s="68">
        <v>1</v>
      </c>
      <c r="L30" s="288" t="s">
        <v>385</v>
      </c>
      <c r="M30" s="289">
        <v>1</v>
      </c>
      <c r="N30" s="331" t="s">
        <v>385</v>
      </c>
      <c r="O30" s="332">
        <v>1</v>
      </c>
      <c r="P30" s="364" t="s">
        <v>385</v>
      </c>
      <c r="Q30" s="365">
        <v>1</v>
      </c>
    </row>
    <row r="31" spans="1:17">
      <c r="B31" s="525"/>
      <c r="C31" s="534"/>
      <c r="J31" s="198"/>
      <c r="K31" s="199"/>
      <c r="P31" s="352" t="s">
        <v>135</v>
      </c>
      <c r="Q31" s="352">
        <v>1</v>
      </c>
    </row>
    <row r="32" spans="1:17" s="14" customFormat="1">
      <c r="A32" s="376" t="s">
        <v>386</v>
      </c>
      <c r="B32" s="535" t="s">
        <v>387</v>
      </c>
      <c r="C32" s="536">
        <v>2</v>
      </c>
      <c r="D32" s="384" t="s">
        <v>388</v>
      </c>
      <c r="E32" s="385">
        <v>2</v>
      </c>
      <c r="F32" s="386" t="s">
        <v>385</v>
      </c>
      <c r="G32" s="387">
        <v>2</v>
      </c>
      <c r="H32" s="388" t="s">
        <v>389</v>
      </c>
      <c r="I32" s="389">
        <v>3</v>
      </c>
      <c r="J32" s="390"/>
      <c r="K32" s="391"/>
      <c r="L32" s="392"/>
      <c r="M32" s="393"/>
      <c r="N32" s="394" t="s">
        <v>390</v>
      </c>
      <c r="O32" s="395">
        <v>1</v>
      </c>
      <c r="P32" s="396"/>
      <c r="Q32" s="397"/>
    </row>
    <row r="33" spans="1:17">
      <c r="A33" s="253"/>
      <c r="B33" s="532" t="s">
        <v>391</v>
      </c>
      <c r="C33" s="533">
        <v>2</v>
      </c>
      <c r="D33" s="313" t="s">
        <v>375</v>
      </c>
      <c r="E33" s="377">
        <v>5</v>
      </c>
      <c r="F33" s="378" t="s">
        <v>375</v>
      </c>
      <c r="G33" s="285">
        <v>5</v>
      </c>
      <c r="H33" s="286" t="s">
        <v>375</v>
      </c>
      <c r="I33" s="379">
        <v>4</v>
      </c>
      <c r="J33" s="380"/>
      <c r="K33" s="68"/>
      <c r="L33" s="373" t="s">
        <v>381</v>
      </c>
      <c r="M33" s="289">
        <v>7</v>
      </c>
      <c r="N33" s="381" t="s">
        <v>375</v>
      </c>
      <c r="O33" s="332">
        <v>6</v>
      </c>
      <c r="P33" s="382" t="s">
        <v>375</v>
      </c>
      <c r="Q33" s="383">
        <v>7</v>
      </c>
    </row>
    <row r="34" spans="1:17" s="14" customFormat="1">
      <c r="A34" s="253" t="s">
        <v>392</v>
      </c>
      <c r="B34" s="527" t="s">
        <v>393</v>
      </c>
      <c r="C34" s="537">
        <v>2</v>
      </c>
      <c r="D34" s="310" t="s">
        <v>375</v>
      </c>
      <c r="E34" s="399">
        <v>3</v>
      </c>
      <c r="F34" s="208" t="s">
        <v>375</v>
      </c>
      <c r="G34" s="400">
        <v>5</v>
      </c>
      <c r="H34" s="209" t="s">
        <v>375</v>
      </c>
      <c r="I34" s="401">
        <v>5</v>
      </c>
      <c r="J34" s="210" t="s">
        <v>375</v>
      </c>
      <c r="K34" s="402">
        <v>7</v>
      </c>
      <c r="L34" s="211" t="s">
        <v>375</v>
      </c>
      <c r="M34" s="375">
        <v>7</v>
      </c>
      <c r="N34" s="326" t="s">
        <v>375</v>
      </c>
      <c r="O34" s="403">
        <v>7</v>
      </c>
      <c r="P34" s="356" t="s">
        <v>375</v>
      </c>
      <c r="Q34" s="356">
        <v>5</v>
      </c>
    </row>
    <row r="35" spans="1:17" ht="27" customHeight="1">
      <c r="B35" s="525" t="s">
        <v>385</v>
      </c>
      <c r="C35" s="525">
        <v>3</v>
      </c>
      <c r="D35" s="303" t="s">
        <v>388</v>
      </c>
      <c r="E35" s="303">
        <v>2</v>
      </c>
      <c r="G35" s="179"/>
      <c r="H35" s="415" t="s">
        <v>394</v>
      </c>
      <c r="I35" s="404">
        <v>1.5</v>
      </c>
      <c r="J35" s="198"/>
      <c r="K35" s="198"/>
      <c r="L35" s="414" t="s">
        <v>394</v>
      </c>
      <c r="M35" s="183">
        <v>1.5</v>
      </c>
      <c r="O35" s="324"/>
      <c r="P35" s="352" t="s">
        <v>135</v>
      </c>
      <c r="Q35" s="352">
        <v>1</v>
      </c>
    </row>
    <row r="36" spans="1:17">
      <c r="B36" s="525" t="s">
        <v>395</v>
      </c>
      <c r="C36" s="525">
        <v>1</v>
      </c>
      <c r="E36" s="303"/>
      <c r="G36" s="179"/>
      <c r="I36" s="8"/>
      <c r="J36" s="198"/>
      <c r="K36" s="198"/>
      <c r="M36" s="183"/>
      <c r="O36" s="324"/>
    </row>
    <row r="37" spans="1:17">
      <c r="B37" s="523"/>
      <c r="C37" s="523"/>
      <c r="D37" s="302"/>
      <c r="E37" s="302"/>
      <c r="F37" s="222"/>
      <c r="G37" s="222"/>
      <c r="H37" s="223"/>
      <c r="I37" s="223"/>
      <c r="J37" s="224"/>
      <c r="K37" s="224"/>
      <c r="L37" s="225"/>
      <c r="M37" s="225"/>
      <c r="N37" s="323"/>
      <c r="O37" s="323"/>
      <c r="P37" s="350"/>
      <c r="Q37" s="350"/>
    </row>
    <row r="38" spans="1:17" s="14" customFormat="1">
      <c r="A38" s="440" t="s">
        <v>396</v>
      </c>
      <c r="B38" s="538" t="s">
        <v>361</v>
      </c>
      <c r="C38" s="538">
        <v>3</v>
      </c>
      <c r="D38" s="423" t="s">
        <v>361</v>
      </c>
      <c r="E38" s="423">
        <v>3</v>
      </c>
      <c r="F38" s="425" t="s">
        <v>361</v>
      </c>
      <c r="G38" s="425">
        <v>3</v>
      </c>
      <c r="H38" s="404" t="s">
        <v>361</v>
      </c>
      <c r="I38" s="404">
        <v>3</v>
      </c>
      <c r="J38" s="428" t="s">
        <v>361</v>
      </c>
      <c r="K38" s="428">
        <v>3</v>
      </c>
      <c r="L38" s="374" t="s">
        <v>361</v>
      </c>
      <c r="M38" s="374">
        <v>3</v>
      </c>
      <c r="N38" s="431" t="s">
        <v>361</v>
      </c>
      <c r="O38" s="431">
        <v>3</v>
      </c>
      <c r="P38" s="433" t="s">
        <v>361</v>
      </c>
      <c r="Q38" s="433">
        <v>3</v>
      </c>
    </row>
    <row r="39" spans="1:17">
      <c r="B39" s="525" t="s">
        <v>391</v>
      </c>
      <c r="C39" s="525">
        <v>3</v>
      </c>
      <c r="D39" s="303" t="s">
        <v>391</v>
      </c>
      <c r="E39" s="303">
        <v>3</v>
      </c>
      <c r="F39" s="179" t="s">
        <v>391</v>
      </c>
      <c r="G39" s="179">
        <v>3</v>
      </c>
      <c r="H39" s="8" t="s">
        <v>391</v>
      </c>
      <c r="I39" s="8">
        <v>3</v>
      </c>
      <c r="J39" s="198" t="s">
        <v>391</v>
      </c>
      <c r="K39" s="198">
        <v>3</v>
      </c>
      <c r="L39" s="183" t="s">
        <v>391</v>
      </c>
      <c r="M39" s="183">
        <v>3</v>
      </c>
      <c r="N39" s="324" t="s">
        <v>391</v>
      </c>
      <c r="O39" s="324">
        <v>3</v>
      </c>
      <c r="P39" s="352" t="s">
        <v>391</v>
      </c>
      <c r="Q39" s="352">
        <v>3</v>
      </c>
    </row>
    <row r="40" spans="1:17">
      <c r="B40" s="523" t="s">
        <v>397</v>
      </c>
      <c r="C40" s="523">
        <v>1</v>
      </c>
      <c r="D40" s="302" t="s">
        <v>397</v>
      </c>
      <c r="E40" s="302">
        <v>1</v>
      </c>
      <c r="F40" s="222"/>
      <c r="G40" s="222"/>
      <c r="H40" s="223"/>
      <c r="I40" s="223"/>
      <c r="J40" s="224" t="s">
        <v>397</v>
      </c>
      <c r="K40" s="224">
        <v>1</v>
      </c>
      <c r="L40" s="225"/>
      <c r="M40" s="225"/>
      <c r="N40" s="323"/>
      <c r="O40" s="323"/>
      <c r="P40" s="350"/>
      <c r="Q40" s="350"/>
    </row>
    <row r="41" spans="1:17" s="14" customFormat="1">
      <c r="A41" s="468" t="s">
        <v>398</v>
      </c>
      <c r="B41" s="539" t="s">
        <v>399</v>
      </c>
      <c r="C41" s="529">
        <v>3.5</v>
      </c>
      <c r="D41" s="308"/>
      <c r="E41" s="308"/>
      <c r="F41" s="200"/>
      <c r="G41" s="200"/>
      <c r="H41" s="201" t="s">
        <v>400</v>
      </c>
      <c r="I41" s="201">
        <v>5</v>
      </c>
      <c r="J41" s="202" t="s">
        <v>96</v>
      </c>
      <c r="K41" s="202">
        <v>7</v>
      </c>
      <c r="L41" s="203" t="s">
        <v>400</v>
      </c>
      <c r="M41" s="203">
        <v>7</v>
      </c>
      <c r="N41" s="328" t="s">
        <v>401</v>
      </c>
      <c r="O41" s="328">
        <v>5.5</v>
      </c>
      <c r="P41" s="360"/>
      <c r="Q41" s="361"/>
    </row>
    <row r="42" spans="1:17">
      <c r="A42" s="275"/>
      <c r="B42" s="525" t="s">
        <v>400</v>
      </c>
      <c r="C42" s="525">
        <v>1</v>
      </c>
      <c r="E42" s="303"/>
      <c r="G42" s="179"/>
      <c r="I42" s="8"/>
      <c r="J42" s="198"/>
      <c r="K42" s="198"/>
      <c r="M42" s="183"/>
      <c r="O42" s="324"/>
      <c r="Q42" s="353"/>
    </row>
    <row r="43" spans="1:17">
      <c r="A43" s="275"/>
      <c r="B43" s="525" t="s">
        <v>402</v>
      </c>
      <c r="C43" s="525">
        <v>1</v>
      </c>
      <c r="E43" s="303"/>
      <c r="G43" s="179"/>
      <c r="I43" s="8"/>
      <c r="J43" s="198"/>
      <c r="K43" s="198"/>
      <c r="M43" s="183"/>
      <c r="O43" s="324"/>
      <c r="Q43" s="353"/>
    </row>
    <row r="44" spans="1:17">
      <c r="A44" s="275"/>
      <c r="B44" s="525" t="s">
        <v>96</v>
      </c>
      <c r="C44" s="525">
        <v>1.5</v>
      </c>
      <c r="E44" s="303"/>
      <c r="G44" s="179"/>
      <c r="I44" s="8"/>
      <c r="J44" s="198"/>
      <c r="K44" s="198"/>
      <c r="M44" s="183"/>
      <c r="O44" s="324"/>
      <c r="P44" s="352" t="s">
        <v>403</v>
      </c>
      <c r="Q44" s="353">
        <v>3</v>
      </c>
    </row>
    <row r="45" spans="1:17">
      <c r="A45" s="467"/>
      <c r="B45" s="526" t="s">
        <v>404</v>
      </c>
      <c r="C45" s="526">
        <v>1</v>
      </c>
      <c r="D45" s="304"/>
      <c r="E45" s="304"/>
      <c r="F45" s="204"/>
      <c r="G45" s="204"/>
      <c r="H45" s="205"/>
      <c r="I45" s="205"/>
      <c r="J45" s="206"/>
      <c r="K45" s="206"/>
      <c r="L45" s="207"/>
      <c r="M45" s="207"/>
      <c r="N45" s="325"/>
      <c r="O45" s="325"/>
      <c r="P45" s="354" t="s">
        <v>135</v>
      </c>
      <c r="Q45" s="355">
        <v>4</v>
      </c>
    </row>
    <row r="46" spans="1:17">
      <c r="A46" s="252" t="s">
        <v>405</v>
      </c>
      <c r="B46" s="530" t="s">
        <v>404</v>
      </c>
      <c r="C46" s="530">
        <v>3.5</v>
      </c>
      <c r="D46" s="493" t="s">
        <v>399</v>
      </c>
      <c r="E46" s="493">
        <v>3.5</v>
      </c>
      <c r="F46" s="435"/>
      <c r="G46" s="435"/>
      <c r="H46" s="436"/>
      <c r="I46" s="436"/>
      <c r="J46" s="437" t="s">
        <v>402</v>
      </c>
      <c r="K46" s="437" t="s">
        <v>406</v>
      </c>
      <c r="L46" s="438" t="s">
        <v>400</v>
      </c>
      <c r="M46" s="438">
        <v>7</v>
      </c>
      <c r="N46" s="439"/>
      <c r="O46" s="439"/>
      <c r="P46" s="362"/>
      <c r="Q46" s="362"/>
    </row>
    <row r="47" spans="1:17">
      <c r="B47" s="525" t="s">
        <v>404</v>
      </c>
      <c r="C47" s="525">
        <v>3.5</v>
      </c>
      <c r="D47" s="303" t="s">
        <v>407</v>
      </c>
      <c r="E47" s="303">
        <v>3.5</v>
      </c>
      <c r="G47" s="179"/>
      <c r="I47" s="8"/>
      <c r="J47" s="198"/>
      <c r="K47" s="198"/>
      <c r="M47" s="183"/>
      <c r="O47" s="324"/>
    </row>
    <row r="48" spans="1:17" s="14" customFormat="1">
      <c r="A48" s="253"/>
      <c r="B48" s="421"/>
      <c r="C48" s="421"/>
      <c r="D48" s="422"/>
      <c r="E48" s="423"/>
      <c r="F48" s="424"/>
      <c r="G48" s="425"/>
      <c r="H48" s="426"/>
      <c r="I48" s="404"/>
      <c r="J48" s="427"/>
      <c r="K48" s="428"/>
      <c r="L48" s="429"/>
      <c r="M48" s="374"/>
      <c r="N48" s="430"/>
      <c r="O48" s="431"/>
      <c r="P48" s="432"/>
      <c r="Q48" s="433"/>
    </row>
    <row r="49" spans="1:17" s="14" customFormat="1">
      <c r="A49" s="253" t="s">
        <v>408</v>
      </c>
      <c r="B49" s="522" t="s">
        <v>385</v>
      </c>
      <c r="C49" s="540" t="s">
        <v>409</v>
      </c>
      <c r="D49" s="494"/>
      <c r="E49" s="495"/>
      <c r="F49" s="496"/>
      <c r="G49" s="281"/>
      <c r="H49" s="497"/>
      <c r="I49" s="461"/>
      <c r="J49" s="498"/>
      <c r="K49" s="499"/>
      <c r="L49" s="500"/>
      <c r="M49" s="501"/>
      <c r="N49" s="502"/>
      <c r="O49" s="503"/>
      <c r="P49" s="504" t="s">
        <v>135</v>
      </c>
      <c r="Q49" s="348">
        <v>1</v>
      </c>
    </row>
    <row r="50" spans="1:17" s="14" customFormat="1">
      <c r="A50" s="253" t="s">
        <v>410</v>
      </c>
      <c r="B50" s="522" t="s">
        <v>411</v>
      </c>
      <c r="C50" s="540" t="s">
        <v>412</v>
      </c>
      <c r="D50" s="494"/>
      <c r="E50" s="495"/>
      <c r="F50" s="496"/>
      <c r="G50" s="281"/>
      <c r="H50" s="497"/>
      <c r="I50" s="461"/>
      <c r="J50" s="498"/>
      <c r="K50" s="499"/>
      <c r="L50" s="500"/>
      <c r="M50" s="501"/>
      <c r="N50" s="502"/>
      <c r="O50" s="503"/>
      <c r="P50" s="504"/>
      <c r="Q50" s="348"/>
    </row>
    <row r="51" spans="1:17" s="14" customFormat="1">
      <c r="A51" s="253"/>
      <c r="B51" s="530" t="s">
        <v>404</v>
      </c>
      <c r="C51" s="531" t="s">
        <v>409</v>
      </c>
      <c r="D51" s="494"/>
      <c r="E51" s="495"/>
      <c r="F51" s="496"/>
      <c r="G51" s="281"/>
      <c r="H51" s="497"/>
      <c r="I51" s="461"/>
      <c r="J51" s="498"/>
      <c r="K51" s="499"/>
      <c r="L51" s="500"/>
      <c r="M51" s="501"/>
      <c r="N51" s="502"/>
      <c r="O51" s="503"/>
      <c r="P51" s="504"/>
      <c r="Q51" s="348"/>
    </row>
    <row r="52" spans="1:17" s="14" customFormat="1">
      <c r="A52" s="253" t="s">
        <v>413</v>
      </c>
      <c r="B52" s="522" t="s">
        <v>411</v>
      </c>
      <c r="C52" s="540">
        <v>7</v>
      </c>
      <c r="D52" s="494"/>
      <c r="E52" s="495"/>
      <c r="F52" s="496"/>
      <c r="G52" s="281"/>
      <c r="H52" s="497"/>
      <c r="I52" s="461"/>
      <c r="J52" s="498"/>
      <c r="K52" s="499"/>
      <c r="L52" s="500"/>
      <c r="M52" s="501"/>
      <c r="N52" s="502"/>
      <c r="O52" s="503"/>
      <c r="P52" s="504"/>
      <c r="Q52" s="348"/>
    </row>
    <row r="53" spans="1:17" s="14" customFormat="1">
      <c r="A53" s="253" t="s">
        <v>414</v>
      </c>
      <c r="B53" s="522" t="s">
        <v>384</v>
      </c>
      <c r="C53" s="540">
        <v>3.5</v>
      </c>
      <c r="D53" s="494"/>
      <c r="E53" s="495"/>
      <c r="F53" s="496"/>
      <c r="G53" s="281"/>
      <c r="H53" s="497"/>
      <c r="I53" s="461"/>
      <c r="J53" s="498"/>
      <c r="K53" s="499"/>
      <c r="L53" s="500"/>
      <c r="M53" s="501"/>
      <c r="N53" s="502"/>
      <c r="O53" s="503"/>
      <c r="P53" s="504"/>
      <c r="Q53" s="348"/>
    </row>
    <row r="54" spans="1:17" s="14" customFormat="1">
      <c r="A54" s="253"/>
      <c r="B54" s="530" t="s">
        <v>404</v>
      </c>
      <c r="C54" s="531">
        <v>3.5</v>
      </c>
      <c r="D54" s="494"/>
      <c r="E54" s="495"/>
      <c r="F54" s="496"/>
      <c r="G54" s="281"/>
      <c r="H54" s="497"/>
      <c r="I54" s="461"/>
      <c r="J54" s="498"/>
      <c r="K54" s="499"/>
      <c r="L54" s="500"/>
      <c r="M54" s="501"/>
      <c r="N54" s="502"/>
      <c r="O54" s="503"/>
      <c r="P54" s="504"/>
      <c r="Q54" s="348"/>
    </row>
    <row r="55" spans="1:17" s="14" customFormat="1">
      <c r="A55" s="253" t="s">
        <v>415</v>
      </c>
      <c r="B55" s="522" t="s">
        <v>404</v>
      </c>
      <c r="C55" s="540">
        <v>3.5</v>
      </c>
      <c r="D55" s="494"/>
      <c r="E55" s="495"/>
      <c r="F55" s="496"/>
      <c r="G55" s="281"/>
      <c r="H55" s="497"/>
      <c r="I55" s="461"/>
      <c r="J55" s="498"/>
      <c r="K55" s="499"/>
      <c r="L55" s="500"/>
      <c r="M55" s="501"/>
      <c r="N55" s="502"/>
      <c r="O55" s="503"/>
      <c r="P55" s="504"/>
      <c r="Q55" s="348"/>
    </row>
    <row r="56" spans="1:17" s="14" customFormat="1">
      <c r="A56" s="253"/>
      <c r="B56" s="530" t="s">
        <v>416</v>
      </c>
      <c r="C56" s="531">
        <v>3.5</v>
      </c>
      <c r="D56" s="494"/>
      <c r="E56" s="495"/>
      <c r="F56" s="496"/>
      <c r="G56" s="281"/>
      <c r="H56" s="497"/>
      <c r="I56" s="461"/>
      <c r="J56" s="498"/>
      <c r="K56" s="499"/>
      <c r="L56" s="500"/>
      <c r="M56" s="501"/>
      <c r="N56" s="502"/>
      <c r="O56" s="503"/>
      <c r="P56" s="504"/>
      <c r="Q56" s="348"/>
    </row>
    <row r="57" spans="1:17" s="14" customFormat="1">
      <c r="A57" s="253" t="s">
        <v>417</v>
      </c>
      <c r="B57" s="522" t="s">
        <v>404</v>
      </c>
      <c r="C57" s="540">
        <v>3.5</v>
      </c>
      <c r="D57" s="494"/>
      <c r="E57" s="495"/>
      <c r="F57" s="496"/>
      <c r="G57" s="281"/>
      <c r="H57" s="497"/>
      <c r="I57" s="461"/>
      <c r="J57" s="498"/>
      <c r="K57" s="499"/>
      <c r="L57" s="500"/>
      <c r="M57" s="501"/>
      <c r="N57" s="502"/>
      <c r="O57" s="503"/>
      <c r="P57" s="504"/>
      <c r="Q57" s="348"/>
    </row>
    <row r="58" spans="1:17" s="14" customFormat="1">
      <c r="A58" s="253"/>
      <c r="B58" s="530" t="s">
        <v>416</v>
      </c>
      <c r="C58" s="531">
        <v>3.5</v>
      </c>
      <c r="D58" s="494"/>
      <c r="E58" s="495"/>
      <c r="F58" s="496"/>
      <c r="G58" s="281"/>
      <c r="H58" s="497"/>
      <c r="I58" s="461"/>
      <c r="J58" s="498"/>
      <c r="K58" s="499"/>
      <c r="L58" s="500"/>
      <c r="M58" s="501"/>
      <c r="N58" s="502"/>
      <c r="O58" s="503"/>
      <c r="P58" s="504"/>
      <c r="Q58" s="348"/>
    </row>
    <row r="59" spans="1:17" s="14" customFormat="1">
      <c r="A59" s="253" t="s">
        <v>418</v>
      </c>
      <c r="B59" s="522" t="s">
        <v>135</v>
      </c>
      <c r="C59" s="540">
        <v>3.5</v>
      </c>
      <c r="D59" s="494"/>
      <c r="E59" s="495"/>
      <c r="F59" s="496"/>
      <c r="G59" s="281"/>
      <c r="H59" s="497"/>
      <c r="I59" s="461"/>
      <c r="J59" s="498"/>
      <c r="K59" s="499"/>
      <c r="L59" s="500"/>
      <c r="M59" s="501"/>
      <c r="N59" s="502"/>
      <c r="O59" s="503"/>
      <c r="P59" s="504"/>
      <c r="Q59" s="348"/>
    </row>
    <row r="60" spans="1:17" s="14" customFormat="1">
      <c r="A60" s="253"/>
      <c r="B60" s="530" t="s">
        <v>135</v>
      </c>
      <c r="C60" s="531">
        <v>3.5</v>
      </c>
      <c r="D60" s="494"/>
      <c r="E60" s="495"/>
      <c r="F60" s="496"/>
      <c r="G60" s="281"/>
      <c r="H60" s="497"/>
      <c r="I60" s="461"/>
      <c r="J60" s="498"/>
      <c r="K60" s="499"/>
      <c r="L60" s="500"/>
      <c r="M60" s="501"/>
      <c r="N60" s="502"/>
      <c r="O60" s="503"/>
      <c r="P60" s="504"/>
      <c r="Q60" s="348"/>
    </row>
    <row r="61" spans="1:17" s="14" customFormat="1">
      <c r="A61" s="253" t="s">
        <v>419</v>
      </c>
      <c r="B61" s="522" t="s">
        <v>420</v>
      </c>
      <c r="C61" s="540">
        <v>1</v>
      </c>
      <c r="D61" s="494"/>
      <c r="E61" s="495"/>
      <c r="F61" s="496"/>
      <c r="G61" s="281"/>
      <c r="H61" s="497"/>
      <c r="I61" s="461"/>
      <c r="J61" s="498"/>
      <c r="K61" s="499"/>
      <c r="L61" s="500"/>
      <c r="M61" s="501"/>
      <c r="N61" s="502"/>
      <c r="O61" s="503"/>
      <c r="P61" s="504"/>
      <c r="Q61" s="348"/>
    </row>
    <row r="62" spans="1:17" s="14" customFormat="1">
      <c r="A62" s="253"/>
      <c r="B62" s="581" t="s">
        <v>404</v>
      </c>
      <c r="C62" s="582">
        <v>2</v>
      </c>
      <c r="D62" s="494"/>
      <c r="E62" s="495"/>
      <c r="F62" s="496"/>
      <c r="G62" s="281"/>
      <c r="H62" s="497"/>
      <c r="I62" s="461"/>
      <c r="J62" s="498"/>
      <c r="K62" s="499"/>
      <c r="L62" s="500"/>
      <c r="M62" s="501"/>
      <c r="N62" s="502"/>
      <c r="O62" s="503"/>
      <c r="P62" s="504"/>
      <c r="Q62" s="348"/>
    </row>
    <row r="63" spans="1:17" s="14" customFormat="1">
      <c r="A63" s="253"/>
      <c r="B63" s="530" t="s">
        <v>135</v>
      </c>
      <c r="C63" s="531">
        <v>4</v>
      </c>
      <c r="D63" s="494"/>
      <c r="E63" s="495"/>
      <c r="F63" s="496"/>
      <c r="G63" s="281"/>
      <c r="H63" s="497"/>
      <c r="I63" s="461"/>
      <c r="J63" s="498"/>
      <c r="K63" s="499"/>
      <c r="L63" s="500"/>
      <c r="M63" s="501"/>
      <c r="N63" s="502"/>
      <c r="O63" s="503"/>
      <c r="P63" s="504"/>
      <c r="Q63" s="348"/>
    </row>
    <row r="64" spans="1:17" s="14" customFormat="1">
      <c r="A64" s="253" t="s">
        <v>421</v>
      </c>
      <c r="B64" s="522" t="s">
        <v>422</v>
      </c>
      <c r="C64" s="540">
        <v>5</v>
      </c>
      <c r="D64" s="494"/>
      <c r="E64" s="495"/>
      <c r="F64" s="496"/>
      <c r="G64" s="281"/>
      <c r="H64" s="497"/>
      <c r="I64" s="461"/>
      <c r="J64" s="498"/>
      <c r="K64" s="499"/>
      <c r="L64" s="500"/>
      <c r="M64" s="501"/>
      <c r="N64" s="502"/>
      <c r="O64" s="503"/>
      <c r="P64" s="504"/>
      <c r="Q64" s="348"/>
    </row>
    <row r="65" spans="1:17" s="14" customFormat="1">
      <c r="A65" s="253" t="s">
        <v>423</v>
      </c>
      <c r="B65" s="522" t="s">
        <v>424</v>
      </c>
      <c r="C65" s="540">
        <v>3.5</v>
      </c>
      <c r="D65" s="494"/>
      <c r="E65" s="495"/>
      <c r="F65" s="496"/>
      <c r="G65" s="281"/>
      <c r="H65" s="497"/>
      <c r="I65" s="461"/>
      <c r="J65" s="498"/>
      <c r="K65" s="499"/>
      <c r="L65" s="500"/>
      <c r="M65" s="501"/>
      <c r="N65" s="502"/>
      <c r="O65" s="503"/>
      <c r="P65" s="504"/>
      <c r="Q65" s="348"/>
    </row>
    <row r="66" spans="1:17" s="14" customFormat="1">
      <c r="A66" s="253"/>
      <c r="B66" s="581" t="s">
        <v>404</v>
      </c>
      <c r="C66" s="582">
        <v>2</v>
      </c>
      <c r="D66" s="494"/>
      <c r="E66" s="495"/>
      <c r="F66" s="496"/>
      <c r="G66" s="281"/>
      <c r="H66" s="497"/>
      <c r="I66" s="461"/>
      <c r="J66" s="498"/>
      <c r="K66" s="499"/>
      <c r="L66" s="500"/>
      <c r="M66" s="501"/>
      <c r="N66" s="502"/>
      <c r="O66" s="503"/>
      <c r="P66" s="504"/>
      <c r="Q66" s="348"/>
    </row>
    <row r="67" spans="1:17" s="14" customFormat="1">
      <c r="A67" s="253" t="s">
        <v>425</v>
      </c>
      <c r="B67" s="530" t="s">
        <v>422</v>
      </c>
      <c r="C67" s="531">
        <v>3.5</v>
      </c>
      <c r="D67" s="494"/>
      <c r="E67" s="495"/>
      <c r="F67" s="496"/>
      <c r="G67" s="281"/>
      <c r="H67" s="497"/>
      <c r="I67" s="461"/>
      <c r="J67" s="498"/>
      <c r="K67" s="499"/>
      <c r="L67" s="500"/>
      <c r="M67" s="501"/>
      <c r="N67" s="502"/>
      <c r="O67" s="503"/>
      <c r="P67" s="504"/>
      <c r="Q67" s="348"/>
    </row>
    <row r="68" spans="1:17" s="14" customFormat="1">
      <c r="A68" s="253" t="s">
        <v>426</v>
      </c>
      <c r="B68" s="522" t="s">
        <v>427</v>
      </c>
      <c r="C68" s="540">
        <v>3.5</v>
      </c>
      <c r="D68" s="494"/>
      <c r="E68" s="495"/>
      <c r="F68" s="496"/>
      <c r="G68" s="281"/>
      <c r="H68" s="497"/>
      <c r="I68" s="461"/>
      <c r="J68" s="498"/>
      <c r="K68" s="499"/>
      <c r="L68" s="500"/>
      <c r="M68" s="501"/>
      <c r="N68" s="502"/>
      <c r="O68" s="503"/>
      <c r="P68" s="504"/>
      <c r="Q68" s="348"/>
    </row>
    <row r="69" spans="1:17" s="14" customFormat="1">
      <c r="A69" s="253"/>
      <c r="B69" s="522" t="s">
        <v>427</v>
      </c>
      <c r="C69" s="540">
        <v>3.5</v>
      </c>
      <c r="D69" s="494"/>
      <c r="E69" s="495"/>
      <c r="F69" s="496"/>
      <c r="G69" s="281"/>
      <c r="H69" s="497"/>
      <c r="I69" s="461"/>
      <c r="J69" s="498"/>
      <c r="K69" s="499"/>
      <c r="L69" s="500"/>
      <c r="M69" s="501"/>
      <c r="N69" s="502"/>
      <c r="O69" s="503"/>
      <c r="P69" s="504"/>
      <c r="Q69" s="348"/>
    </row>
    <row r="70" spans="1:17" s="14" customFormat="1">
      <c r="A70" s="253" t="s">
        <v>428</v>
      </c>
      <c r="B70" s="522" t="s">
        <v>420</v>
      </c>
      <c r="C70" s="540">
        <v>3.5</v>
      </c>
      <c r="D70" s="494"/>
      <c r="E70" s="495"/>
      <c r="F70" s="496"/>
      <c r="G70" s="281"/>
      <c r="H70" s="497"/>
      <c r="I70" s="461"/>
      <c r="J70" s="498"/>
      <c r="K70" s="499"/>
      <c r="L70" s="500"/>
      <c r="M70" s="501"/>
      <c r="N70" s="502"/>
      <c r="O70" s="503"/>
      <c r="P70" s="504"/>
      <c r="Q70" s="348"/>
    </row>
    <row r="71" spans="1:17" s="14" customFormat="1">
      <c r="A71" s="253"/>
      <c r="B71" s="522" t="s">
        <v>429</v>
      </c>
      <c r="C71" s="540">
        <v>3.5</v>
      </c>
      <c r="D71" s="494"/>
      <c r="E71" s="495"/>
      <c r="F71" s="496"/>
      <c r="G71" s="281"/>
      <c r="H71" s="497"/>
      <c r="I71" s="461"/>
      <c r="J71" s="498"/>
      <c r="K71" s="499"/>
      <c r="L71" s="500"/>
      <c r="M71" s="501"/>
      <c r="N71" s="502"/>
      <c r="O71" s="503"/>
      <c r="P71" s="504"/>
      <c r="Q71" s="348"/>
    </row>
    <row r="72" spans="1:17" s="14" customFormat="1">
      <c r="A72" s="253" t="s">
        <v>430</v>
      </c>
      <c r="B72" s="522" t="s">
        <v>431</v>
      </c>
      <c r="C72" s="540">
        <v>3.5</v>
      </c>
      <c r="D72" s="494"/>
      <c r="E72" s="495"/>
      <c r="F72" s="496"/>
      <c r="G72" s="281"/>
      <c r="H72" s="497"/>
      <c r="I72" s="461"/>
      <c r="J72" s="498"/>
      <c r="K72" s="499"/>
      <c r="L72" s="500"/>
      <c r="M72" s="501"/>
      <c r="N72" s="502"/>
      <c r="O72" s="503"/>
      <c r="P72" s="504"/>
      <c r="Q72" s="348"/>
    </row>
    <row r="73" spans="1:17" s="14" customFormat="1">
      <c r="A73" s="253"/>
      <c r="B73" s="522" t="s">
        <v>432</v>
      </c>
      <c r="C73" s="540">
        <v>3.5</v>
      </c>
      <c r="D73" s="494"/>
      <c r="E73" s="495"/>
      <c r="F73" s="496"/>
      <c r="G73" s="281"/>
      <c r="H73" s="497"/>
      <c r="I73" s="461"/>
      <c r="J73" s="498"/>
      <c r="K73" s="499"/>
      <c r="L73" s="500"/>
      <c r="M73" s="501"/>
      <c r="N73" s="502"/>
      <c r="O73" s="503"/>
      <c r="P73" s="504"/>
      <c r="Q73" s="348"/>
    </row>
    <row r="74" spans="1:17" s="14" customFormat="1">
      <c r="A74" s="253" t="s">
        <v>433</v>
      </c>
      <c r="B74" s="522" t="s">
        <v>402</v>
      </c>
      <c r="C74" s="540">
        <v>3.5</v>
      </c>
      <c r="D74" s="494"/>
      <c r="E74" s="495"/>
      <c r="F74" s="496"/>
      <c r="G74" s="281"/>
      <c r="H74" s="497"/>
      <c r="I74" s="461"/>
      <c r="J74" s="498"/>
      <c r="K74" s="499"/>
      <c r="L74" s="500"/>
      <c r="M74" s="501"/>
      <c r="N74" s="502"/>
      <c r="O74" s="503"/>
      <c r="P74" s="504"/>
      <c r="Q74" s="348"/>
    </row>
    <row r="75" spans="1:17" s="14" customFormat="1">
      <c r="A75" s="253"/>
      <c r="B75" s="522" t="s">
        <v>434</v>
      </c>
      <c r="C75" s="540">
        <v>3.5</v>
      </c>
      <c r="D75" s="494"/>
      <c r="E75" s="495"/>
      <c r="F75" s="496"/>
      <c r="G75" s="281"/>
      <c r="H75" s="497"/>
      <c r="I75" s="461"/>
      <c r="J75" s="498"/>
      <c r="K75" s="499"/>
      <c r="L75" s="500"/>
      <c r="M75" s="501"/>
      <c r="N75" s="502"/>
      <c r="O75" s="503"/>
      <c r="P75" s="504"/>
      <c r="Q75" s="348"/>
    </row>
    <row r="76" spans="1:17" s="14" customFormat="1">
      <c r="A76" s="253" t="s">
        <v>435</v>
      </c>
      <c r="B76" s="522" t="s">
        <v>436</v>
      </c>
      <c r="C76" s="540">
        <v>3.5</v>
      </c>
      <c r="D76" s="494"/>
      <c r="E76" s="495"/>
      <c r="F76" s="496"/>
      <c r="G76" s="281"/>
      <c r="H76" s="497"/>
      <c r="I76" s="461"/>
      <c r="J76" s="498"/>
      <c r="K76" s="499"/>
      <c r="L76" s="500"/>
      <c r="M76" s="501"/>
      <c r="N76" s="502"/>
      <c r="O76" s="503"/>
      <c r="P76" s="504"/>
      <c r="Q76" s="348"/>
    </row>
    <row r="77" spans="1:17" s="14" customFormat="1">
      <c r="A77" s="253" t="s">
        <v>437</v>
      </c>
      <c r="B77" s="522" t="s">
        <v>438</v>
      </c>
      <c r="C77" s="540">
        <v>3.5</v>
      </c>
      <c r="D77" s="494"/>
      <c r="E77" s="495"/>
      <c r="F77" s="496"/>
      <c r="G77" s="281"/>
      <c r="H77" s="497"/>
      <c r="I77" s="461"/>
      <c r="J77" s="498"/>
      <c r="K77" s="499"/>
      <c r="L77" s="500"/>
      <c r="M77" s="501"/>
      <c r="N77" s="502"/>
      <c r="O77" s="503"/>
      <c r="P77" s="504"/>
      <c r="Q77" s="348"/>
    </row>
    <row r="78" spans="1:17" s="14" customFormat="1">
      <c r="A78" s="253" t="s">
        <v>439</v>
      </c>
      <c r="B78" s="522" t="s">
        <v>375</v>
      </c>
      <c r="C78" s="540">
        <v>7</v>
      </c>
      <c r="D78" s="494"/>
      <c r="E78" s="495"/>
      <c r="F78" s="496"/>
      <c r="G78" s="281"/>
      <c r="H78" s="497"/>
      <c r="I78" s="461"/>
      <c r="J78" s="498"/>
      <c r="K78" s="499"/>
      <c r="L78" s="500"/>
      <c r="M78" s="501"/>
      <c r="N78" s="502"/>
      <c r="O78" s="503"/>
      <c r="P78" s="504"/>
      <c r="Q78" s="348"/>
    </row>
    <row r="79" spans="1:17" s="14" customFormat="1">
      <c r="A79" s="253"/>
      <c r="B79" s="557"/>
      <c r="C79" s="558"/>
      <c r="D79" s="494"/>
      <c r="E79" s="495"/>
      <c r="F79" s="496"/>
      <c r="G79" s="281"/>
      <c r="H79" s="497"/>
      <c r="I79" s="461"/>
      <c r="J79" s="498"/>
      <c r="K79" s="499"/>
      <c r="L79" s="500"/>
      <c r="M79" s="501"/>
      <c r="N79" s="502"/>
      <c r="O79" s="503"/>
      <c r="P79" s="504"/>
      <c r="Q79" s="348"/>
    </row>
    <row r="80" spans="1:17" s="14" customFormat="1">
      <c r="A80" s="253" t="s">
        <v>440</v>
      </c>
      <c r="B80" s="522" t="s">
        <v>393</v>
      </c>
      <c r="C80" s="540">
        <v>3.5</v>
      </c>
      <c r="D80" s="494"/>
      <c r="E80" s="495"/>
      <c r="F80" s="496"/>
      <c r="G80" s="281"/>
      <c r="H80" s="497"/>
      <c r="I80" s="461"/>
      <c r="J80" s="498"/>
      <c r="K80" s="499"/>
      <c r="L80" s="500"/>
      <c r="M80" s="501"/>
      <c r="N80" s="502"/>
      <c r="O80" s="503"/>
      <c r="P80" s="504"/>
      <c r="Q80" s="348"/>
    </row>
    <row r="81" spans="1:17" s="14" customFormat="1">
      <c r="A81" s="253"/>
      <c r="B81" s="522" t="s">
        <v>441</v>
      </c>
      <c r="C81" s="540">
        <v>3.5</v>
      </c>
      <c r="D81" s="494"/>
      <c r="E81" s="495"/>
      <c r="F81" s="496"/>
      <c r="G81" s="281"/>
      <c r="H81" s="497"/>
      <c r="I81" s="461"/>
      <c r="J81" s="498"/>
      <c r="K81" s="499"/>
      <c r="L81" s="500"/>
      <c r="M81" s="501"/>
      <c r="N81" s="502"/>
      <c r="O81" s="503"/>
      <c r="P81" s="504"/>
      <c r="Q81" s="348"/>
    </row>
    <row r="82" spans="1:17" s="14" customFormat="1">
      <c r="A82" s="253" t="s">
        <v>442</v>
      </c>
      <c r="B82" s="522" t="s">
        <v>441</v>
      </c>
      <c r="C82" s="540">
        <v>3.5</v>
      </c>
      <c r="D82" s="494"/>
      <c r="E82" s="495"/>
      <c r="F82" s="496"/>
      <c r="G82" s="281"/>
      <c r="H82" s="497"/>
      <c r="I82" s="461"/>
      <c r="J82" s="498"/>
      <c r="K82" s="499"/>
      <c r="L82" s="500"/>
      <c r="M82" s="501"/>
      <c r="N82" s="502"/>
      <c r="O82" s="503"/>
      <c r="P82" s="504"/>
      <c r="Q82" s="348"/>
    </row>
    <row r="83" spans="1:17" s="14" customFormat="1">
      <c r="A83" s="253" t="s">
        <v>443</v>
      </c>
      <c r="B83" s="522" t="s">
        <v>444</v>
      </c>
      <c r="C83" s="540">
        <v>7</v>
      </c>
      <c r="D83" s="494"/>
      <c r="E83" s="495"/>
      <c r="F83" s="496"/>
      <c r="G83" s="281"/>
      <c r="H83" s="497"/>
      <c r="I83" s="461"/>
      <c r="J83" s="498"/>
      <c r="K83" s="499"/>
      <c r="L83" s="500"/>
      <c r="M83" s="501"/>
      <c r="N83" s="502"/>
      <c r="O83" s="503"/>
      <c r="P83" s="504"/>
      <c r="Q83" s="348"/>
    </row>
    <row r="84" spans="1:17" s="14" customFormat="1">
      <c r="A84" s="253" t="s">
        <v>445</v>
      </c>
      <c r="B84" s="522" t="s">
        <v>420</v>
      </c>
      <c r="C84" s="540">
        <v>7</v>
      </c>
      <c r="D84" s="494"/>
      <c r="E84" s="495"/>
      <c r="F84" s="496"/>
      <c r="G84" s="281"/>
      <c r="H84" s="497"/>
      <c r="I84" s="461"/>
      <c r="J84" s="498"/>
      <c r="K84" s="499"/>
      <c r="L84" s="500"/>
      <c r="M84" s="501"/>
      <c r="N84" s="502"/>
      <c r="O84" s="503"/>
      <c r="P84" s="504"/>
      <c r="Q84" s="348"/>
    </row>
    <row r="85" spans="1:17" s="14" customFormat="1">
      <c r="A85" s="253" t="s">
        <v>446</v>
      </c>
      <c r="B85" s="522" t="s">
        <v>404</v>
      </c>
      <c r="C85" s="540">
        <v>3</v>
      </c>
      <c r="D85" s="494"/>
      <c r="E85" s="495"/>
      <c r="F85" s="496"/>
      <c r="G85" s="281"/>
      <c r="H85" s="497"/>
      <c r="I85" s="461"/>
      <c r="J85" s="498"/>
      <c r="K85" s="499"/>
      <c r="L85" s="500"/>
      <c r="M85" s="501"/>
      <c r="N85" s="502"/>
      <c r="O85" s="503"/>
      <c r="P85" s="504"/>
      <c r="Q85" s="348"/>
    </row>
    <row r="86" spans="1:17" s="14" customFormat="1">
      <c r="A86" s="253"/>
      <c r="B86" s="522"/>
      <c r="C86" s="540"/>
      <c r="D86" s="494"/>
      <c r="E86" s="495"/>
      <c r="F86" s="496"/>
      <c r="G86" s="281"/>
      <c r="H86" s="497"/>
      <c r="I86" s="461"/>
      <c r="J86" s="498"/>
      <c r="K86" s="499"/>
      <c r="L86" s="500"/>
      <c r="M86" s="501"/>
      <c r="N86" s="502"/>
      <c r="O86" s="503"/>
      <c r="P86" s="504"/>
      <c r="Q86" s="348"/>
    </row>
    <row r="87" spans="1:17" s="14" customFormat="1">
      <c r="A87" s="253" t="s">
        <v>447</v>
      </c>
      <c r="B87" s="522" t="s">
        <v>448</v>
      </c>
      <c r="C87" s="540">
        <v>3.5</v>
      </c>
      <c r="D87" s="494"/>
      <c r="E87" s="495"/>
      <c r="F87" s="496"/>
      <c r="G87" s="281"/>
      <c r="H87" s="497"/>
      <c r="I87" s="461"/>
      <c r="J87" s="498"/>
      <c r="K87" s="499"/>
      <c r="L87" s="500"/>
      <c r="M87" s="501"/>
      <c r="N87" s="502"/>
      <c r="O87" s="503"/>
      <c r="P87" s="504"/>
      <c r="Q87" s="348"/>
    </row>
    <row r="88" spans="1:17" s="14" customFormat="1">
      <c r="A88" s="253" t="s">
        <v>449</v>
      </c>
      <c r="B88" s="522" t="s">
        <v>404</v>
      </c>
      <c r="C88" s="540">
        <v>3.5</v>
      </c>
      <c r="D88" s="494"/>
      <c r="E88" s="495"/>
      <c r="F88" s="496"/>
      <c r="G88" s="281"/>
      <c r="H88" s="497"/>
      <c r="I88" s="461"/>
      <c r="J88" s="498"/>
      <c r="K88" s="499"/>
      <c r="L88" s="500"/>
      <c r="M88" s="501"/>
      <c r="N88" s="502"/>
      <c r="O88" s="503"/>
      <c r="P88" s="504"/>
      <c r="Q88" s="348"/>
    </row>
    <row r="89" spans="1:17" s="14" customFormat="1">
      <c r="A89" s="253"/>
      <c r="B89" s="530" t="s">
        <v>281</v>
      </c>
      <c r="C89" s="531">
        <v>3.5</v>
      </c>
      <c r="D89" s="494"/>
      <c r="E89" s="495"/>
      <c r="F89" s="496"/>
      <c r="G89" s="281"/>
      <c r="H89" s="497"/>
      <c r="I89" s="461"/>
      <c r="J89" s="498"/>
      <c r="K89" s="499"/>
      <c r="L89" s="500"/>
      <c r="M89" s="501"/>
      <c r="N89" s="502"/>
      <c r="O89" s="503"/>
      <c r="P89" s="504"/>
      <c r="Q89" s="348"/>
    </row>
    <row r="90" spans="1:17" s="14" customFormat="1">
      <c r="A90" s="253" t="s">
        <v>450</v>
      </c>
      <c r="B90" s="522" t="s">
        <v>281</v>
      </c>
      <c r="C90" s="540">
        <v>7</v>
      </c>
      <c r="D90" s="494"/>
      <c r="E90" s="495"/>
      <c r="F90" s="496"/>
      <c r="G90" s="281"/>
      <c r="H90" s="497"/>
      <c r="I90" s="461"/>
      <c r="J90" s="498"/>
      <c r="K90" s="499"/>
      <c r="L90" s="500"/>
      <c r="M90" s="501"/>
      <c r="N90" s="502"/>
      <c r="O90" s="503"/>
      <c r="P90" s="504"/>
      <c r="Q90" s="348"/>
    </row>
    <row r="91" spans="1:17" s="14" customFormat="1">
      <c r="A91" s="253" t="s">
        <v>451</v>
      </c>
      <c r="B91" s="522" t="s">
        <v>281</v>
      </c>
      <c r="C91" s="540">
        <v>3.5</v>
      </c>
      <c r="D91" s="494"/>
      <c r="E91" s="495"/>
      <c r="F91" s="496"/>
      <c r="G91" s="281"/>
      <c r="H91" s="497"/>
      <c r="I91" s="461"/>
      <c r="J91" s="498"/>
      <c r="K91" s="499"/>
      <c r="L91" s="500"/>
      <c r="M91" s="501"/>
      <c r="N91" s="502"/>
      <c r="O91" s="503"/>
      <c r="P91" s="504"/>
      <c r="Q91" s="348"/>
    </row>
    <row r="92" spans="1:17" s="14" customFormat="1">
      <c r="A92" s="253" t="s">
        <v>452</v>
      </c>
      <c r="B92" s="522" t="s">
        <v>281</v>
      </c>
      <c r="C92" s="540">
        <v>7</v>
      </c>
      <c r="D92" s="494"/>
      <c r="E92" s="495"/>
      <c r="F92" s="496"/>
      <c r="G92" s="281"/>
      <c r="H92" s="497"/>
      <c r="I92" s="461"/>
      <c r="J92" s="498"/>
      <c r="K92" s="499"/>
      <c r="L92" s="500"/>
      <c r="M92" s="501"/>
      <c r="N92" s="502"/>
      <c r="O92" s="503"/>
      <c r="P92" s="504"/>
      <c r="Q92" s="348"/>
    </row>
    <row r="93" spans="1:17" s="14" customFormat="1">
      <c r="A93" s="253"/>
      <c r="B93" s="557"/>
      <c r="C93" s="558"/>
      <c r="D93" s="494"/>
      <c r="E93" s="495"/>
      <c r="F93" s="496"/>
      <c r="G93" s="281"/>
      <c r="H93" s="497"/>
      <c r="I93" s="461"/>
      <c r="J93" s="498"/>
      <c r="K93" s="499"/>
      <c r="L93" s="500"/>
      <c r="M93" s="501"/>
      <c r="N93" s="502"/>
      <c r="O93" s="503"/>
      <c r="P93" s="504"/>
      <c r="Q93" s="348"/>
    </row>
    <row r="94" spans="1:17" s="14" customFormat="1">
      <c r="A94" s="253" t="s">
        <v>453</v>
      </c>
      <c r="B94" s="522" t="s">
        <v>429</v>
      </c>
      <c r="C94" s="540">
        <v>3.5</v>
      </c>
      <c r="D94" s="494"/>
      <c r="E94" s="495"/>
      <c r="F94" s="496"/>
      <c r="G94" s="281"/>
      <c r="H94" s="497"/>
      <c r="I94" s="461"/>
      <c r="J94" s="498"/>
      <c r="K94" s="499"/>
      <c r="L94" s="500"/>
      <c r="M94" s="501"/>
      <c r="N94" s="502"/>
      <c r="O94" s="503"/>
      <c r="P94" s="504"/>
      <c r="Q94" s="348"/>
    </row>
    <row r="95" spans="1:17" s="14" customFormat="1">
      <c r="A95" s="253" t="s">
        <v>454</v>
      </c>
      <c r="B95" s="522" t="s">
        <v>455</v>
      </c>
      <c r="C95" s="540">
        <v>7</v>
      </c>
      <c r="D95" s="494"/>
      <c r="E95" s="495"/>
      <c r="F95" s="496"/>
      <c r="G95" s="281"/>
      <c r="H95" s="497"/>
      <c r="I95" s="461"/>
      <c r="J95" s="498"/>
      <c r="K95" s="499"/>
      <c r="L95" s="500"/>
      <c r="M95" s="501"/>
      <c r="N95" s="502"/>
      <c r="O95" s="503"/>
      <c r="P95" s="504"/>
      <c r="Q95" s="348"/>
    </row>
    <row r="96" spans="1:17" s="14" customFormat="1">
      <c r="A96" s="253" t="s">
        <v>456</v>
      </c>
      <c r="B96" s="522" t="s">
        <v>455</v>
      </c>
      <c r="C96" s="540">
        <v>7</v>
      </c>
      <c r="D96" s="494"/>
      <c r="E96" s="495"/>
      <c r="F96" s="496"/>
      <c r="G96" s="281"/>
      <c r="H96" s="497"/>
      <c r="I96" s="461"/>
      <c r="J96" s="498"/>
      <c r="K96" s="499"/>
      <c r="L96" s="500"/>
      <c r="M96" s="501"/>
      <c r="N96" s="502"/>
      <c r="O96" s="503"/>
      <c r="P96" s="504"/>
      <c r="Q96" s="348"/>
    </row>
    <row r="97" spans="1:17" s="14" customFormat="1">
      <c r="A97" s="253" t="s">
        <v>457</v>
      </c>
      <c r="B97" s="522" t="s">
        <v>455</v>
      </c>
      <c r="C97" s="540">
        <v>3.5</v>
      </c>
      <c r="D97" s="494"/>
      <c r="E97" s="495"/>
      <c r="F97" s="496"/>
      <c r="G97" s="281"/>
      <c r="H97" s="497"/>
      <c r="I97" s="461"/>
      <c r="J97" s="498"/>
      <c r="K97" s="499"/>
      <c r="L97" s="500"/>
      <c r="M97" s="501"/>
      <c r="N97" s="502"/>
      <c r="O97" s="503"/>
      <c r="P97" s="504"/>
      <c r="Q97" s="348"/>
    </row>
    <row r="98" spans="1:17" s="14" customFormat="1">
      <c r="A98" s="253"/>
      <c r="B98" s="530" t="s">
        <v>404</v>
      </c>
      <c r="C98" s="531">
        <v>3.5</v>
      </c>
      <c r="D98" s="494"/>
      <c r="E98" s="495"/>
      <c r="F98" s="496"/>
      <c r="G98" s="281"/>
      <c r="H98" s="497"/>
      <c r="I98" s="461"/>
      <c r="J98" s="498"/>
      <c r="K98" s="499"/>
      <c r="L98" s="500"/>
      <c r="M98" s="501"/>
      <c r="N98" s="502"/>
      <c r="O98" s="503"/>
      <c r="P98" s="504"/>
      <c r="Q98" s="348"/>
    </row>
    <row r="99" spans="1:17" s="14" customFormat="1">
      <c r="A99" s="253"/>
      <c r="B99" s="557"/>
      <c r="C99" s="558"/>
      <c r="D99" s="494"/>
      <c r="E99" s="495"/>
      <c r="F99" s="496"/>
      <c r="G99" s="281"/>
      <c r="H99" s="497"/>
      <c r="I99" s="461"/>
      <c r="J99" s="498"/>
      <c r="K99" s="499"/>
      <c r="L99" s="500"/>
      <c r="M99" s="501"/>
      <c r="N99" s="502"/>
      <c r="O99" s="503"/>
      <c r="P99" s="504"/>
      <c r="Q99" s="348"/>
    </row>
    <row r="100" spans="1:17" s="14" customFormat="1">
      <c r="A100" s="253" t="s">
        <v>458</v>
      </c>
      <c r="B100" s="522" t="s">
        <v>459</v>
      </c>
      <c r="C100" s="540">
        <v>3.5</v>
      </c>
      <c r="D100" s="494"/>
      <c r="E100" s="495"/>
      <c r="F100" s="496"/>
      <c r="G100" s="281"/>
      <c r="H100" s="497"/>
      <c r="I100" s="461"/>
      <c r="J100" s="498"/>
      <c r="K100" s="499"/>
      <c r="L100" s="500"/>
      <c r="M100" s="501"/>
      <c r="N100" s="502"/>
      <c r="O100" s="503"/>
      <c r="P100" s="504"/>
      <c r="Q100" s="348"/>
    </row>
    <row r="101" spans="1:17" s="14" customFormat="1">
      <c r="A101" s="253"/>
      <c r="B101" s="530" t="s">
        <v>404</v>
      </c>
      <c r="C101" s="531">
        <v>3.5</v>
      </c>
      <c r="D101" s="494"/>
      <c r="E101" s="495"/>
      <c r="F101" s="496"/>
      <c r="G101" s="281"/>
      <c r="H101" s="497"/>
      <c r="I101" s="461"/>
      <c r="J101" s="498"/>
      <c r="K101" s="499"/>
      <c r="L101" s="500"/>
      <c r="M101" s="501"/>
      <c r="N101" s="502"/>
      <c r="O101" s="503"/>
      <c r="P101" s="504"/>
      <c r="Q101" s="348"/>
    </row>
    <row r="102" spans="1:17" s="14" customFormat="1">
      <c r="A102" s="253"/>
      <c r="B102" s="767"/>
      <c r="C102" s="768"/>
      <c r="D102" s="494"/>
      <c r="E102" s="495"/>
      <c r="F102" s="496"/>
      <c r="G102" s="281"/>
      <c r="H102" s="497"/>
      <c r="I102" s="461"/>
      <c r="J102" s="498"/>
      <c r="K102" s="499"/>
      <c r="L102" s="500"/>
      <c r="M102" s="501"/>
      <c r="N102" s="502"/>
      <c r="O102" s="503"/>
      <c r="P102" s="504"/>
      <c r="Q102" s="348"/>
    </row>
    <row r="103" spans="1:17" s="14" customFormat="1">
      <c r="A103" s="253" t="s">
        <v>460</v>
      </c>
      <c r="B103" s="520" t="s">
        <v>455</v>
      </c>
      <c r="C103" s="799">
        <v>3.5</v>
      </c>
      <c r="D103" s="494"/>
      <c r="E103" s="495"/>
      <c r="F103" s="496"/>
      <c r="G103" s="281"/>
      <c r="H103" s="497"/>
      <c r="I103" s="461"/>
      <c r="J103" s="498"/>
      <c r="K103" s="499"/>
      <c r="L103" s="500"/>
      <c r="M103" s="501"/>
      <c r="N103" s="502"/>
      <c r="O103" s="503"/>
      <c r="P103" s="504"/>
      <c r="Q103" s="348"/>
    </row>
    <row r="104" spans="1:17" s="14" customFormat="1">
      <c r="B104" s="525" t="s">
        <v>404</v>
      </c>
      <c r="C104" s="525">
        <v>3.5</v>
      </c>
      <c r="D104" s="798"/>
      <c r="E104" s="495"/>
      <c r="F104" s="496"/>
      <c r="G104" s="281"/>
      <c r="H104" s="497"/>
      <c r="I104" s="461"/>
      <c r="J104" s="498"/>
      <c r="K104" s="499"/>
      <c r="L104" s="500"/>
      <c r="M104" s="501"/>
      <c r="N104" s="502"/>
      <c r="O104" s="503"/>
      <c r="P104" s="504"/>
      <c r="Q104" s="348"/>
    </row>
    <row r="105" spans="1:17" s="14" customFormat="1">
      <c r="A105" s="253" t="s">
        <v>461</v>
      </c>
      <c r="B105" s="538" t="s">
        <v>455</v>
      </c>
      <c r="C105" s="538">
        <v>7</v>
      </c>
      <c r="D105" s="798"/>
      <c r="E105" s="495"/>
      <c r="F105" s="496"/>
      <c r="G105" s="281"/>
      <c r="H105" s="497"/>
      <c r="I105" s="461"/>
      <c r="J105" s="498"/>
      <c r="K105" s="499"/>
      <c r="L105" s="500"/>
      <c r="M105" s="501"/>
      <c r="N105" s="502"/>
      <c r="O105" s="503"/>
      <c r="P105" s="504"/>
      <c r="Q105" s="348"/>
    </row>
    <row r="106" spans="1:17" s="14" customFormat="1">
      <c r="A106" s="253" t="s">
        <v>462</v>
      </c>
      <c r="B106" s="538" t="s">
        <v>455</v>
      </c>
      <c r="C106" s="538">
        <v>7</v>
      </c>
      <c r="D106" s="798"/>
      <c r="E106" s="495"/>
      <c r="F106" s="496"/>
      <c r="G106" s="281"/>
      <c r="H106" s="497"/>
      <c r="I106" s="461"/>
      <c r="J106" s="498"/>
      <c r="K106" s="499"/>
      <c r="L106" s="500"/>
      <c r="M106" s="501"/>
      <c r="N106" s="502"/>
      <c r="O106" s="503"/>
      <c r="P106" s="504"/>
      <c r="Q106" s="348"/>
    </row>
    <row r="107" spans="1:17" s="14" customFormat="1">
      <c r="A107" s="253"/>
      <c r="B107" s="421"/>
      <c r="C107" s="421"/>
      <c r="D107" s="798"/>
      <c r="E107" s="495"/>
      <c r="F107" s="496"/>
      <c r="G107" s="281"/>
      <c r="H107" s="497"/>
      <c r="I107" s="461"/>
      <c r="J107" s="498"/>
      <c r="K107" s="499"/>
      <c r="L107" s="500"/>
      <c r="M107" s="501"/>
      <c r="N107" s="502"/>
      <c r="O107" s="503"/>
      <c r="P107" s="504"/>
      <c r="Q107" s="348"/>
    </row>
    <row r="108" spans="1:17" s="14" customFormat="1">
      <c r="A108" s="804" t="s">
        <v>463</v>
      </c>
      <c r="B108" s="538" t="s">
        <v>281</v>
      </c>
      <c r="C108" s="538">
        <v>3.5</v>
      </c>
      <c r="D108" s="798"/>
      <c r="E108" s="495"/>
      <c r="F108" s="496"/>
      <c r="G108" s="281"/>
      <c r="H108" s="497"/>
      <c r="I108" s="461"/>
      <c r="J108" s="498"/>
      <c r="K108" s="499"/>
      <c r="L108" s="500"/>
      <c r="M108" s="501"/>
      <c r="N108" s="502"/>
      <c r="O108" s="503"/>
      <c r="P108" s="504"/>
      <c r="Q108" s="348"/>
    </row>
    <row r="109" spans="1:17" s="14" customFormat="1">
      <c r="B109" s="525" t="s">
        <v>464</v>
      </c>
      <c r="C109" s="525">
        <v>3.5</v>
      </c>
      <c r="D109" s="798"/>
      <c r="E109" s="495"/>
      <c r="F109" s="496"/>
      <c r="G109" s="281"/>
      <c r="H109" s="497"/>
      <c r="I109" s="461"/>
      <c r="J109" s="498"/>
      <c r="K109" s="499"/>
      <c r="L109" s="500"/>
      <c r="M109" s="501"/>
      <c r="N109" s="502"/>
      <c r="O109" s="503"/>
      <c r="P109" s="504"/>
      <c r="Q109" s="348"/>
    </row>
    <row r="110" spans="1:17" s="14" customFormat="1" ht="27" customHeight="1">
      <c r="A110" s="805" t="s">
        <v>465</v>
      </c>
      <c r="B110" s="806" t="s">
        <v>466</v>
      </c>
      <c r="C110" s="527">
        <v>7</v>
      </c>
      <c r="D110" s="798"/>
      <c r="E110" s="495"/>
      <c r="F110" s="496"/>
      <c r="G110" s="281"/>
      <c r="H110" s="497"/>
      <c r="I110" s="461"/>
      <c r="J110" s="498"/>
      <c r="K110" s="499"/>
      <c r="L110" s="500"/>
      <c r="M110" s="501"/>
      <c r="N110" s="502"/>
      <c r="O110" s="503"/>
      <c r="P110" s="504"/>
      <c r="Q110" s="348"/>
    </row>
    <row r="111" spans="1:17" s="14" customFormat="1" ht="45.75">
      <c r="A111" s="807" t="s">
        <v>467</v>
      </c>
      <c r="B111" s="808" t="s">
        <v>466</v>
      </c>
      <c r="C111" s="538">
        <v>7</v>
      </c>
      <c r="D111" s="798"/>
      <c r="E111" s="495"/>
      <c r="F111" s="496"/>
      <c r="G111" s="281"/>
      <c r="H111" s="497"/>
      <c r="I111" s="461"/>
      <c r="J111" s="498"/>
      <c r="K111" s="499"/>
      <c r="L111" s="500"/>
      <c r="M111" s="501"/>
      <c r="N111" s="502"/>
      <c r="O111" s="503"/>
      <c r="P111" s="504"/>
      <c r="Q111" s="348"/>
    </row>
    <row r="112" spans="1:17" s="14" customFormat="1">
      <c r="A112" s="807" t="s">
        <v>468</v>
      </c>
      <c r="B112" s="808" t="s">
        <v>469</v>
      </c>
      <c r="C112" s="538">
        <v>7</v>
      </c>
      <c r="D112" s="798"/>
      <c r="E112" s="495"/>
      <c r="F112" s="496"/>
      <c r="G112" s="281"/>
      <c r="H112" s="497"/>
      <c r="I112" s="461"/>
      <c r="J112" s="498"/>
      <c r="K112" s="499"/>
      <c r="L112" s="500"/>
      <c r="M112" s="501"/>
      <c r="N112" s="502"/>
      <c r="O112" s="503"/>
      <c r="P112" s="504"/>
      <c r="Q112" s="348"/>
    </row>
    <row r="113" spans="1:19" s="14" customFormat="1">
      <c r="B113" s="558"/>
      <c r="C113" s="421"/>
      <c r="D113" s="798"/>
      <c r="E113" s="495"/>
      <c r="F113" s="496"/>
      <c r="G113" s="281"/>
      <c r="H113" s="497"/>
      <c r="I113" s="461"/>
      <c r="J113" s="498"/>
      <c r="K113" s="499"/>
      <c r="L113" s="500"/>
      <c r="M113" s="501"/>
      <c r="N113" s="502"/>
      <c r="O113" s="503"/>
      <c r="P113" s="504"/>
      <c r="Q113" s="348"/>
    </row>
    <row r="114" spans="1:19" s="14" customFormat="1">
      <c r="B114" s="558"/>
      <c r="C114" s="421"/>
      <c r="D114" s="798"/>
      <c r="E114" s="495"/>
      <c r="F114" s="496"/>
      <c r="G114" s="281"/>
      <c r="H114" s="497"/>
      <c r="I114" s="461"/>
      <c r="J114" s="498"/>
      <c r="K114" s="499"/>
      <c r="L114" s="500"/>
      <c r="M114" s="501"/>
      <c r="N114" s="502"/>
      <c r="O114" s="503"/>
      <c r="P114" s="504"/>
      <c r="Q114" s="348"/>
    </row>
    <row r="115" spans="1:19">
      <c r="B115" s="768"/>
      <c r="C115" s="177"/>
      <c r="D115" s="802"/>
      <c r="E115" s="434"/>
      <c r="F115" s="435"/>
      <c r="G115" s="416"/>
      <c r="H115" s="436"/>
      <c r="I115" s="417"/>
      <c r="J115" s="437"/>
      <c r="K115" s="418"/>
      <c r="L115" s="438"/>
      <c r="M115" s="419"/>
      <c r="N115" s="439"/>
      <c r="O115" s="420"/>
      <c r="P115" s="362"/>
      <c r="Q115" s="362"/>
    </row>
    <row r="116" spans="1:19" s="14" customFormat="1">
      <c r="A116" s="367" t="s">
        <v>470</v>
      </c>
      <c r="B116" s="368"/>
      <c r="C116" s="803">
        <f>SUM(C10:C115)</f>
        <v>298.5</v>
      </c>
      <c r="D116" s="370"/>
      <c r="E116" s="369">
        <f>SUM(E10:E115)</f>
        <v>73</v>
      </c>
      <c r="F116" s="370"/>
      <c r="G116" s="369">
        <f>SUM(G10:G115)</f>
        <v>62.5</v>
      </c>
      <c r="H116" s="370"/>
      <c r="I116" s="369">
        <f>SUM(I10:I115)</f>
        <v>62</v>
      </c>
      <c r="J116" s="371"/>
      <c r="K116" s="372">
        <f>SUM(K10:K115)</f>
        <v>63.5</v>
      </c>
      <c r="L116" s="370"/>
      <c r="M116" s="369">
        <f>SUM(M10:M115)</f>
        <v>77.5</v>
      </c>
      <c r="N116" s="371"/>
      <c r="O116" s="372">
        <f>SUM(O10:O115)</f>
        <v>74</v>
      </c>
      <c r="P116" s="370"/>
      <c r="Q116" s="369">
        <f>SUM(Q10:Q115)</f>
        <v>75.5</v>
      </c>
      <c r="R116" s="453">
        <f>SUM(C116:Q116)</f>
        <v>786.5</v>
      </c>
    </row>
    <row r="117" spans="1:19">
      <c r="J117" s="198"/>
      <c r="K117" s="199"/>
      <c r="Q117" s="366"/>
      <c r="R117" s="452" t="s">
        <v>471</v>
      </c>
      <c r="S117" s="188">
        <f>R116*S118</f>
        <v>53953.899999999994</v>
      </c>
    </row>
    <row r="118" spans="1:19" ht="45.75">
      <c r="J118" s="198"/>
      <c r="K118" s="199"/>
      <c r="R118" s="186" t="s">
        <v>472</v>
      </c>
      <c r="S118" s="187">
        <v>68.599999999999994</v>
      </c>
    </row>
    <row r="119" spans="1:19">
      <c r="H119" s="8">
        <f>I10</f>
        <v>3</v>
      </c>
      <c r="J119" s="198"/>
      <c r="K119" s="199"/>
    </row>
    <row r="120" spans="1:19">
      <c r="J120" s="198"/>
      <c r="K120" s="199"/>
    </row>
    <row r="121" spans="1:19">
      <c r="J121" s="198"/>
      <c r="K121" s="199"/>
    </row>
    <row r="122" spans="1:19">
      <c r="J122" s="198"/>
      <c r="K122" s="199"/>
    </row>
    <row r="123" spans="1:19">
      <c r="J123" s="198"/>
      <c r="K123" s="199"/>
    </row>
    <row r="124" spans="1:19">
      <c r="J124" s="198"/>
      <c r="K124" s="199"/>
    </row>
    <row r="125" spans="1:19">
      <c r="J125" s="198"/>
      <c r="K125" s="199"/>
    </row>
    <row r="126" spans="1:19">
      <c r="J126" s="198"/>
      <c r="K126" s="199"/>
    </row>
    <row r="127" spans="1:19">
      <c r="J127" s="198"/>
      <c r="K127" s="199"/>
    </row>
    <row r="128" spans="1:19">
      <c r="J128" s="198"/>
      <c r="K128" s="199"/>
    </row>
    <row r="129" spans="10:11">
      <c r="J129" s="198"/>
      <c r="K129" s="199"/>
    </row>
    <row r="130" spans="10:11">
      <c r="J130" s="198"/>
      <c r="K130" s="199"/>
    </row>
    <row r="131" spans="10:11">
      <c r="J131" s="198"/>
      <c r="K131" s="199"/>
    </row>
    <row r="132" spans="10:11">
      <c r="J132" s="198"/>
      <c r="K132" s="199"/>
    </row>
    <row r="133" spans="10:11">
      <c r="J133" s="198"/>
      <c r="K133" s="199"/>
    </row>
    <row r="134" spans="10:11">
      <c r="J134" s="198"/>
      <c r="K134" s="199"/>
    </row>
    <row r="135" spans="10:11">
      <c r="J135" s="198"/>
      <c r="K135" s="199"/>
    </row>
    <row r="136" spans="10:11">
      <c r="J136" s="198"/>
      <c r="K136" s="199"/>
    </row>
    <row r="137" spans="10:11">
      <c r="J137" s="198"/>
      <c r="K137" s="199"/>
    </row>
    <row r="138" spans="10:11">
      <c r="J138" s="198"/>
      <c r="K138" s="199"/>
    </row>
    <row r="139" spans="10:11">
      <c r="J139" s="198"/>
      <c r="K139" s="199"/>
    </row>
    <row r="140" spans="10:11">
      <c r="J140" s="198"/>
      <c r="K140" s="199"/>
    </row>
    <row r="141" spans="10:11">
      <c r="J141" s="198"/>
      <c r="K141" s="199"/>
    </row>
    <row r="142" spans="10:11">
      <c r="J142" s="198"/>
      <c r="K142" s="199"/>
    </row>
    <row r="143" spans="10:11">
      <c r="J143" s="198"/>
      <c r="K143" s="199"/>
    </row>
    <row r="144" spans="10:11">
      <c r="J144" s="198"/>
      <c r="K144" s="199"/>
    </row>
    <row r="145" spans="10:11">
      <c r="J145" s="198"/>
      <c r="K145" s="199"/>
    </row>
  </sheetData>
  <autoFilter ref="A3:Q36" xr:uid="{D876FDE0-6C45-4188-A573-198209410C3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D1D2-91E0-4C6C-BE10-BAD9F2FE5776}">
  <dimension ref="A3:A39"/>
  <sheetViews>
    <sheetView workbookViewId="0">
      <selection activeCell="A39" sqref="A39"/>
    </sheetView>
  </sheetViews>
  <sheetFormatPr defaultRowHeight="15"/>
  <cols>
    <col min="1" max="1" width="103.28515625" customWidth="1"/>
  </cols>
  <sheetData>
    <row r="3" spans="1:1">
      <c r="A3" t="s">
        <v>473</v>
      </c>
    </row>
    <row r="4" spans="1:1">
      <c r="A4" t="s">
        <v>474</v>
      </c>
    </row>
    <row r="5" spans="1:1">
      <c r="A5" t="s">
        <v>475</v>
      </c>
    </row>
    <row r="6" spans="1:1">
      <c r="A6" t="s">
        <v>476</v>
      </c>
    </row>
    <row r="7" spans="1:1">
      <c r="A7" t="s">
        <v>477</v>
      </c>
    </row>
    <row r="8" spans="1:1">
      <c r="A8" t="s">
        <v>478</v>
      </c>
    </row>
    <row r="9" spans="1:1">
      <c r="A9" t="s">
        <v>479</v>
      </c>
    </row>
    <row r="10" spans="1:1">
      <c r="A10" t="s">
        <v>480</v>
      </c>
    </row>
    <row r="11" spans="1:1">
      <c r="A11" t="s">
        <v>481</v>
      </c>
    </row>
    <row r="12" spans="1:1">
      <c r="A12" t="s">
        <v>482</v>
      </c>
    </row>
    <row r="13" spans="1:1">
      <c r="A13" t="s">
        <v>483</v>
      </c>
    </row>
    <row r="14" spans="1:1">
      <c r="A14" t="s">
        <v>484</v>
      </c>
    </row>
    <row r="15" spans="1:1">
      <c r="A15" t="s">
        <v>485</v>
      </c>
    </row>
    <row r="16" spans="1:1">
      <c r="A16" t="s">
        <v>486</v>
      </c>
    </row>
    <row r="17" spans="1:1">
      <c r="A17" t="s">
        <v>487</v>
      </c>
    </row>
    <row r="18" spans="1:1">
      <c r="A18" t="s">
        <v>488</v>
      </c>
    </row>
    <row r="19" spans="1:1">
      <c r="A19" t="s">
        <v>489</v>
      </c>
    </row>
    <row r="20" spans="1:1">
      <c r="A20" t="s">
        <v>490</v>
      </c>
    </row>
    <row r="21" spans="1:1">
      <c r="A21" t="s">
        <v>491</v>
      </c>
    </row>
    <row r="22" spans="1:1">
      <c r="A22" t="s">
        <v>492</v>
      </c>
    </row>
    <row r="23" spans="1:1">
      <c r="A23" t="s">
        <v>493</v>
      </c>
    </row>
    <row r="24" spans="1:1">
      <c r="A24" t="s">
        <v>494</v>
      </c>
    </row>
    <row r="25" spans="1:1">
      <c r="A25" t="s">
        <v>495</v>
      </c>
    </row>
    <row r="26" spans="1:1">
      <c r="A26" t="s">
        <v>496</v>
      </c>
    </row>
    <row r="27" spans="1:1">
      <c r="A27" t="s">
        <v>497</v>
      </c>
    </row>
    <row r="28" spans="1:1">
      <c r="A28" t="s">
        <v>498</v>
      </c>
    </row>
    <row r="29" spans="1:1">
      <c r="A29" t="s">
        <v>499</v>
      </c>
    </row>
    <row r="30" spans="1:1">
      <c r="A30" t="s">
        <v>500</v>
      </c>
    </row>
    <row r="31" spans="1:1">
      <c r="A31" t="s">
        <v>501</v>
      </c>
    </row>
    <row r="32" spans="1:1">
      <c r="A32" t="s">
        <v>502</v>
      </c>
    </row>
    <row r="33" spans="1:1">
      <c r="A33" t="s">
        <v>503</v>
      </c>
    </row>
    <row r="34" spans="1:1">
      <c r="A34" t="s">
        <v>504</v>
      </c>
    </row>
    <row r="35" spans="1:1">
      <c r="A35" t="s">
        <v>505</v>
      </c>
    </row>
    <row r="36" spans="1:1">
      <c r="A36" t="s">
        <v>506</v>
      </c>
    </row>
    <row r="37" spans="1:1">
      <c r="A37" t="s">
        <v>507</v>
      </c>
    </row>
    <row r="38" spans="1:1">
      <c r="A38" t="s">
        <v>508</v>
      </c>
    </row>
    <row r="39" spans="1:1">
      <c r="A39" t="s">
        <v>509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7DD0-924C-47A0-9127-25C6A86CF860}">
  <dimension ref="A1:AC77"/>
  <sheetViews>
    <sheetView topLeftCell="A44" workbookViewId="0">
      <selection activeCell="A3" sqref="A3"/>
    </sheetView>
  </sheetViews>
  <sheetFormatPr defaultColWidth="9.140625" defaultRowHeight="15"/>
  <cols>
    <col min="11" max="11" width="24.42578125" customWidth="1"/>
    <col min="12" max="12" width="38.42578125" customWidth="1"/>
    <col min="21" max="21" width="9.140625" bestFit="1" customWidth="1"/>
    <col min="22" max="22" width="34.85546875" customWidth="1"/>
    <col min="23" max="23" width="16.140625" customWidth="1"/>
    <col min="27" max="27" width="11.140625" customWidth="1"/>
  </cols>
  <sheetData>
    <row r="1" spans="1:29">
      <c r="A1" t="s">
        <v>510</v>
      </c>
    </row>
    <row r="2" spans="1:29">
      <c r="A2" s="13" t="s">
        <v>511</v>
      </c>
    </row>
    <row r="4" spans="1:29">
      <c r="A4" s="13"/>
    </row>
    <row r="5" spans="1:29">
      <c r="U5" s="405" t="s">
        <v>512</v>
      </c>
      <c r="V5" s="406"/>
      <c r="W5" s="410" t="s">
        <v>513</v>
      </c>
    </row>
    <row r="6" spans="1:29">
      <c r="U6" s="407" t="s">
        <v>514</v>
      </c>
      <c r="V6" s="407" t="s">
        <v>515</v>
      </c>
      <c r="W6" s="10" t="s">
        <v>516</v>
      </c>
    </row>
    <row r="7" spans="1:29">
      <c r="U7" s="10" t="s">
        <v>517</v>
      </c>
      <c r="V7" s="10" t="s">
        <v>518</v>
      </c>
      <c r="W7" s="10" t="s">
        <v>519</v>
      </c>
      <c r="AB7" t="s">
        <v>520</v>
      </c>
    </row>
    <row r="8" spans="1:29">
      <c r="U8" s="10" t="s">
        <v>521</v>
      </c>
      <c r="V8" s="10" t="s">
        <v>522</v>
      </c>
      <c r="W8" s="10" t="s">
        <v>100</v>
      </c>
    </row>
    <row r="9" spans="1:29">
      <c r="U9" s="10" t="s">
        <v>523</v>
      </c>
      <c r="V9" s="10" t="s">
        <v>524</v>
      </c>
      <c r="W9" s="10" t="s">
        <v>525</v>
      </c>
    </row>
    <row r="10" spans="1:29">
      <c r="U10" s="10" t="s">
        <v>526</v>
      </c>
      <c r="V10" s="10" t="s">
        <v>527</v>
      </c>
      <c r="W10" s="10" t="s">
        <v>58</v>
      </c>
    </row>
    <row r="11" spans="1:29">
      <c r="U11" s="156" t="s">
        <v>528</v>
      </c>
      <c r="V11" s="156" t="s">
        <v>529</v>
      </c>
      <c r="W11" s="10" t="s">
        <v>127</v>
      </c>
    </row>
    <row r="12" spans="1:29">
      <c r="U12" s="157" t="s">
        <v>530</v>
      </c>
      <c r="V12" s="10" t="s">
        <v>531</v>
      </c>
      <c r="W12" s="10" t="s">
        <v>532</v>
      </c>
      <c r="AC12" t="s">
        <v>533</v>
      </c>
    </row>
    <row r="14" spans="1:29">
      <c r="U14" s="408" t="s">
        <v>534</v>
      </c>
    </row>
    <row r="15" spans="1:29">
      <c r="U15" s="407" t="s">
        <v>535</v>
      </c>
    </row>
    <row r="16" spans="1:29">
      <c r="U16" s="10" t="s">
        <v>536</v>
      </c>
    </row>
    <row r="17" spans="21:23">
      <c r="U17" s="10" t="s">
        <v>537</v>
      </c>
    </row>
    <row r="18" spans="21:23">
      <c r="U18" s="10" t="s">
        <v>538</v>
      </c>
    </row>
    <row r="19" spans="21:23">
      <c r="U19" s="10" t="s">
        <v>539</v>
      </c>
    </row>
    <row r="24" spans="21:23">
      <c r="U24" s="10">
        <v>1</v>
      </c>
      <c r="V24" s="10" t="s">
        <v>540</v>
      </c>
      <c r="W24" s="10" t="s">
        <v>541</v>
      </c>
    </row>
    <row r="25" spans="21:23" ht="28.5" customHeight="1">
      <c r="U25" s="30">
        <v>2</v>
      </c>
      <c r="V25" s="36" t="s">
        <v>542</v>
      </c>
      <c r="W25" s="36" t="s">
        <v>543</v>
      </c>
    </row>
    <row r="26" spans="21:23">
      <c r="U26" s="10">
        <v>3</v>
      </c>
      <c r="V26" s="10" t="s">
        <v>544</v>
      </c>
      <c r="W26" s="409" t="s">
        <v>545</v>
      </c>
    </row>
    <row r="27" spans="21:23">
      <c r="W27" s="10" t="s">
        <v>546</v>
      </c>
    </row>
    <row r="28" spans="21:23">
      <c r="W28" s="10" t="s">
        <v>547</v>
      </c>
    </row>
    <row r="29" spans="21:23">
      <c r="W29" s="10" t="s">
        <v>548</v>
      </c>
    </row>
    <row r="30" spans="21:23">
      <c r="W30" s="10" t="s">
        <v>549</v>
      </c>
    </row>
    <row r="31" spans="21:23">
      <c r="W31" s="10" t="s">
        <v>550</v>
      </c>
    </row>
    <row r="32" spans="21:23">
      <c r="W32" s="10"/>
    </row>
    <row r="33" spans="1:23">
      <c r="W33" s="10" t="s">
        <v>551</v>
      </c>
    </row>
    <row r="37" spans="1:23">
      <c r="A37" t="s">
        <v>85</v>
      </c>
    </row>
    <row r="38" spans="1:23">
      <c r="A38" s="13" t="s">
        <v>552</v>
      </c>
    </row>
    <row r="77" spans="1:1">
      <c r="A77" s="13"/>
    </row>
  </sheetData>
  <hyperlinks>
    <hyperlink ref="A38" r:id="rId1" xr:uid="{500B6AE7-EBD3-4110-89D6-CB62BAD23CE6}"/>
    <hyperlink ref="A2" r:id="rId2" xr:uid="{1D958D01-3A96-49FB-A803-356F752F6568}"/>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149E-2F9F-4359-820D-579EED5E981C}">
  <dimension ref="A1:H19"/>
  <sheetViews>
    <sheetView workbookViewId="0">
      <selection activeCell="I12" sqref="I12"/>
    </sheetView>
  </sheetViews>
  <sheetFormatPr defaultRowHeight="15"/>
  <cols>
    <col min="1" max="1" width="20.7109375" customWidth="1"/>
    <col min="2" max="2" width="16.5703125" customWidth="1"/>
    <col min="3" max="3" width="30.7109375" customWidth="1"/>
    <col min="4" max="4" width="22.28515625" bestFit="1" customWidth="1"/>
    <col min="5" max="5" width="22.28515625" customWidth="1"/>
    <col min="6" max="6" width="21.85546875" customWidth="1"/>
    <col min="7" max="7" width="32" customWidth="1"/>
  </cols>
  <sheetData>
    <row r="1" spans="1:8" ht="23.25">
      <c r="A1" s="150" t="s">
        <v>553</v>
      </c>
      <c r="B1" s="150"/>
      <c r="C1" s="12"/>
      <c r="D1" s="12"/>
      <c r="E1" s="413"/>
      <c r="F1" s="12"/>
      <c r="G1" s="12"/>
      <c r="H1" s="12"/>
    </row>
    <row r="2" spans="1:8">
      <c r="A2" s="8" t="s">
        <v>28</v>
      </c>
      <c r="B2" s="8" t="s">
        <v>343</v>
      </c>
      <c r="C2" s="9" t="s">
        <v>554</v>
      </c>
      <c r="D2" s="8" t="s">
        <v>555</v>
      </c>
      <c r="E2" s="109" t="s">
        <v>556</v>
      </c>
      <c r="F2" s="175" t="s">
        <v>557</v>
      </c>
      <c r="G2" s="564" t="s">
        <v>558</v>
      </c>
      <c r="H2" s="8" t="s">
        <v>559</v>
      </c>
    </row>
    <row r="3" spans="1:8" s="149" customFormat="1" ht="60.75">
      <c r="A3" s="176" t="s">
        <v>560</v>
      </c>
      <c r="B3" s="147">
        <v>45181</v>
      </c>
      <c r="C3" s="148" t="s">
        <v>561</v>
      </c>
      <c r="D3" s="108">
        <v>8</v>
      </c>
      <c r="E3" s="108" t="s">
        <v>562</v>
      </c>
      <c r="F3" s="108" t="s">
        <v>563</v>
      </c>
      <c r="G3" s="398" t="s">
        <v>564</v>
      </c>
      <c r="H3" s="565"/>
    </row>
    <row r="4" spans="1:8" s="149" customFormat="1" ht="60.75">
      <c r="A4" s="441" t="s">
        <v>565</v>
      </c>
      <c r="B4" s="442" t="s">
        <v>566</v>
      </c>
      <c r="C4" s="443" t="s">
        <v>567</v>
      </c>
      <c r="D4" s="441">
        <v>8</v>
      </c>
      <c r="E4" s="441" t="s">
        <v>562</v>
      </c>
      <c r="F4" s="441" t="s">
        <v>568</v>
      </c>
      <c r="G4" s="566" t="s">
        <v>569</v>
      </c>
      <c r="H4" s="565"/>
    </row>
    <row r="5" spans="1:8" ht="30.75">
      <c r="A5" s="580" t="s">
        <v>570</v>
      </c>
      <c r="B5" s="469" t="s">
        <v>571</v>
      </c>
      <c r="C5" s="447" t="s">
        <v>58</v>
      </c>
      <c r="D5" s="448" t="s">
        <v>572</v>
      </c>
      <c r="E5" s="449" t="s">
        <v>573</v>
      </c>
      <c r="F5" s="448" t="s">
        <v>572</v>
      </c>
      <c r="G5" s="567" t="s">
        <v>574</v>
      </c>
      <c r="H5" s="10"/>
    </row>
    <row r="6" spans="1:8" ht="76.5">
      <c r="A6" s="412" t="s">
        <v>575</v>
      </c>
      <c r="B6" s="444">
        <v>45210</v>
      </c>
      <c r="C6" s="649" t="s">
        <v>58</v>
      </c>
      <c r="D6" s="445" t="s">
        <v>572</v>
      </c>
      <c r="E6" s="412" t="s">
        <v>576</v>
      </c>
      <c r="F6" s="446" t="s">
        <v>568</v>
      </c>
      <c r="G6" s="568" t="s">
        <v>577</v>
      </c>
      <c r="H6" s="10"/>
    </row>
    <row r="7" spans="1:8" ht="91.5">
      <c r="A7" s="176" t="s">
        <v>578</v>
      </c>
      <c r="B7" s="645">
        <v>45219</v>
      </c>
      <c r="C7" s="647" t="s">
        <v>63</v>
      </c>
      <c r="D7" s="592">
        <v>8</v>
      </c>
      <c r="E7" s="108" t="s">
        <v>562</v>
      </c>
      <c r="F7" s="108" t="s">
        <v>568</v>
      </c>
      <c r="G7" s="598" t="s">
        <v>579</v>
      </c>
      <c r="H7" s="10"/>
    </row>
    <row r="8" spans="1:8" ht="30.75">
      <c r="A8" s="176" t="s">
        <v>580</v>
      </c>
      <c r="B8" s="645">
        <v>45224</v>
      </c>
      <c r="C8" s="647" t="s">
        <v>63</v>
      </c>
      <c r="D8" s="648"/>
      <c r="E8" s="108"/>
      <c r="F8" s="113"/>
      <c r="G8" s="176"/>
      <c r="H8" s="406"/>
    </row>
    <row r="9" spans="1:8">
      <c r="A9" s="176" t="s">
        <v>76</v>
      </c>
      <c r="B9" s="645">
        <v>45236</v>
      </c>
      <c r="C9" s="647" t="s">
        <v>581</v>
      </c>
      <c r="D9" s="592" t="s">
        <v>582</v>
      </c>
      <c r="E9" s="592"/>
      <c r="F9" s="113"/>
      <c r="G9" s="176"/>
      <c r="H9" s="406"/>
    </row>
    <row r="10" spans="1:8">
      <c r="A10" s="176" t="s">
        <v>583</v>
      </c>
      <c r="B10" s="411">
        <v>45240</v>
      </c>
      <c r="C10" s="650"/>
      <c r="D10" s="108"/>
      <c r="E10" s="592"/>
      <c r="F10" s="113"/>
      <c r="G10" s="176" t="s">
        <v>584</v>
      </c>
      <c r="H10" s="406"/>
    </row>
    <row r="11" spans="1:8" ht="30.75">
      <c r="A11" s="108" t="s">
        <v>585</v>
      </c>
      <c r="B11" s="411">
        <v>45251</v>
      </c>
      <c r="C11" s="646"/>
      <c r="D11" s="441">
        <v>8</v>
      </c>
      <c r="E11" s="592" t="s">
        <v>562</v>
      </c>
      <c r="F11" s="157" t="s">
        <v>586</v>
      </c>
      <c r="G11" s="597" t="s">
        <v>587</v>
      </c>
      <c r="H11" s="406"/>
    </row>
    <row r="12" spans="1:8">
      <c r="A12" s="441" t="s">
        <v>588</v>
      </c>
      <c r="B12" s="753">
        <v>45252</v>
      </c>
      <c r="C12" s="156"/>
      <c r="D12" s="441"/>
      <c r="E12" s="648"/>
      <c r="F12" s="646" t="s">
        <v>589</v>
      </c>
      <c r="G12" s="754" t="s">
        <v>590</v>
      </c>
      <c r="H12" s="755"/>
    </row>
    <row r="13" spans="1:8">
      <c r="A13" s="108" t="s">
        <v>591</v>
      </c>
      <c r="B13" s="411">
        <v>45252</v>
      </c>
      <c r="C13" s="10"/>
      <c r="D13" s="108"/>
      <c r="E13" s="108"/>
      <c r="F13" s="10"/>
      <c r="G13" s="597"/>
      <c r="H13" s="10"/>
    </row>
    <row r="14" spans="1:8">
      <c r="A14" s="108" t="s">
        <v>32</v>
      </c>
      <c r="B14" s="108"/>
      <c r="C14" s="10"/>
      <c r="D14" s="10"/>
      <c r="E14" s="10"/>
      <c r="F14" s="10"/>
      <c r="G14" s="10"/>
      <c r="H14" s="10"/>
    </row>
    <row r="15" spans="1:8">
      <c r="A15" s="156" t="s">
        <v>592</v>
      </c>
      <c r="B15" s="800">
        <v>45028</v>
      </c>
      <c r="C15" s="156" t="s">
        <v>593</v>
      </c>
      <c r="D15" s="156">
        <v>8</v>
      </c>
      <c r="E15" s="156" t="s">
        <v>594</v>
      </c>
      <c r="F15" s="156" t="s">
        <v>595</v>
      </c>
      <c r="G15" s="156" t="s">
        <v>596</v>
      </c>
      <c r="H15" s="156"/>
    </row>
    <row r="16" spans="1:8">
      <c r="A16" s="10" t="s">
        <v>592</v>
      </c>
      <c r="B16" s="411">
        <v>45089</v>
      </c>
      <c r="C16" s="10"/>
      <c r="D16" s="10"/>
      <c r="E16" s="10"/>
      <c r="F16" s="10"/>
      <c r="G16" s="10"/>
      <c r="H16" s="10"/>
    </row>
    <row r="19" spans="1:3" ht="18.75">
      <c r="A19" s="643"/>
      <c r="B19" s="644"/>
      <c r="C19" s="64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6" ma:contentTypeDescription="Create a new document." ma:contentTypeScope="" ma:versionID="40c06be0097462ae84e73f209560d3f4">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aa8c8b2366abf9a3a679a3cd5c8f77fc"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590069-314C-4F29-A458-4E75F85CAF40}"/>
</file>

<file path=customXml/itemProps2.xml><?xml version="1.0" encoding="utf-8"?>
<ds:datastoreItem xmlns:ds="http://schemas.openxmlformats.org/officeDocument/2006/customXml" ds:itemID="{801BECB7-7AC8-4308-A0DF-8A6166AB150F}"/>
</file>

<file path=customXml/itemProps3.xml><?xml version="1.0" encoding="utf-8"?>
<ds:datastoreItem xmlns:ds="http://schemas.openxmlformats.org/officeDocument/2006/customXml" ds:itemID="{DA59B774-BDA5-4FE1-9D8F-5027AB0BC1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Elisa FAUCI [EKVY]</cp:lastModifiedBy>
  <cp:revision/>
  <dcterms:created xsi:type="dcterms:W3CDTF">2023-08-22T08:53:27Z</dcterms:created>
  <dcterms:modified xsi:type="dcterms:W3CDTF">2024-01-24T13:34:17Z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ies>
</file>