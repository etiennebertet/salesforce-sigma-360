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7"/>
  <workbookPr filterPrivacy="1"/>
  <xr:revisionPtr revIDLastSave="610" documentId="13_ncr:1_{B0EF9A34-9E94-49C1-ACA0-A8136711AA04}" xr6:coauthVersionLast="47" xr6:coauthVersionMax="47" xr10:uidLastSave="{B0A55585-5AF3-4617-9F19-7AC0D338E09C}"/>
  <bookViews>
    <workbookView xWindow="-120" yWindow="-120" windowWidth="29040" windowHeight="15960" firstSheet="1" xr2:uid="{00000000-000D-0000-FFFF-FFFF00000000}"/>
  </bookViews>
  <sheets>
    <sheet name="Macro planning V0.1" sheetId="3" r:id="rId1"/>
    <sheet name="Macro Planning V1" sheetId="2" r:id="rId2"/>
  </sheets>
  <definedNames>
    <definedName name="_xlnm.Print_Area" localSheetId="1">'Macro Planning V1'!$A:$H</definedName>
    <definedName name="_xlnm.Print_Titles" localSheetId="1">'Macro Planning V1'!$50:$50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2" l="1"/>
  <c r="E34" i="2"/>
  <c r="E33" i="2"/>
  <c r="J26" i="2"/>
  <c r="E28" i="2"/>
  <c r="E27" i="2"/>
  <c r="E35" i="2"/>
  <c r="E32" i="2"/>
  <c r="E31" i="2"/>
  <c r="E30" i="2"/>
  <c r="E29" i="2"/>
  <c r="E21" i="2"/>
  <c r="E20" i="2"/>
  <c r="E19" i="2"/>
  <c r="E18" i="2"/>
  <c r="E17" i="2"/>
  <c r="C17" i="2"/>
  <c r="E16" i="2"/>
  <c r="E15" i="2"/>
  <c r="E14" i="2"/>
  <c r="E13" i="2"/>
  <c r="C13" i="2"/>
  <c r="B14" i="2" s="1"/>
  <c r="C14" i="2" s="1"/>
  <c r="B15" i="2" s="1"/>
  <c r="C15" i="2" s="1"/>
  <c r="B16" i="2" s="1"/>
  <c r="C16" i="2" s="1"/>
  <c r="J27" i="2"/>
  <c r="J31" i="2"/>
  <c r="J10" i="2"/>
  <c r="J9" i="2"/>
  <c r="J28" i="2"/>
  <c r="J23" i="2"/>
  <c r="J24" i="2"/>
  <c r="J25" i="2"/>
  <c r="J17" i="2"/>
  <c r="J16" i="2"/>
  <c r="J15" i="2"/>
  <c r="J14" i="2"/>
  <c r="J13" i="2"/>
  <c r="J12" i="2"/>
  <c r="J11" i="2"/>
  <c r="H13" i="2"/>
  <c r="H9" i="2"/>
  <c r="G10" i="2"/>
  <c r="H10" i="2" s="1"/>
  <c r="G11" i="2" s="1"/>
  <c r="H11" i="2" s="1"/>
  <c r="G12" i="2" s="1"/>
  <c r="H12" i="2" s="1"/>
  <c r="K10" i="2"/>
  <c r="K11" i="2" s="1"/>
  <c r="L10" i="2"/>
  <c r="L9" i="2"/>
  <c r="L15" i="2"/>
  <c r="L13" i="2"/>
  <c r="L12" i="2"/>
  <c r="K14" i="2"/>
  <c r="L14" i="2"/>
  <c r="K17" i="2"/>
  <c r="L17" i="2"/>
  <c r="L16" i="2"/>
  <c r="B20" i="2" l="1"/>
  <c r="C20" i="2" s="1"/>
  <c r="B21" i="2" s="1"/>
  <c r="C21" i="2" s="1"/>
  <c r="B19" i="2"/>
  <c r="C19" i="2" s="1"/>
  <c r="B18" i="2"/>
  <c r="C18" i="2" s="1"/>
  <c r="G14" i="2"/>
  <c r="H14" i="2" s="1"/>
  <c r="G16" i="2"/>
  <c r="H16" i="2" s="1"/>
  <c r="G17" i="2" s="1"/>
  <c r="H17" i="2" s="1"/>
  <c r="G15" i="2"/>
  <c r="H15" i="2" s="1"/>
  <c r="L11" i="2"/>
</calcChain>
</file>

<file path=xl/sharedStrings.xml><?xml version="1.0" encoding="utf-8"?>
<sst xmlns="http://schemas.openxmlformats.org/spreadsheetml/2006/main" count="50" uniqueCount="39">
  <si>
    <t>MACRO PLANNING V0.1</t>
  </si>
  <si>
    <t>Kick-Off</t>
  </si>
  <si>
    <t>Go live</t>
  </si>
  <si>
    <t>Committee 1</t>
  </si>
  <si>
    <t>Committee 2</t>
  </si>
  <si>
    <t>Directors Board</t>
  </si>
  <si>
    <t>Committee 3</t>
  </si>
  <si>
    <t>Committee 4</t>
  </si>
  <si>
    <t>August</t>
  </si>
  <si>
    <t>September</t>
  </si>
  <si>
    <t>October</t>
  </si>
  <si>
    <t>November</t>
  </si>
  <si>
    <t>December</t>
  </si>
  <si>
    <t>Scoping Meeting</t>
  </si>
  <si>
    <t>Preparation Phase</t>
  </si>
  <si>
    <t>Design Phase</t>
  </si>
  <si>
    <t>Build Phase</t>
  </si>
  <si>
    <t>Unit Tests &amp; Integrations Tests</t>
  </si>
  <si>
    <r>
      <rPr>
        <b/>
        <sz val="11"/>
        <color rgb="FF000000"/>
        <rFont val="Calibri"/>
        <scheme val="minor"/>
      </rPr>
      <t xml:space="preserve">UAT+ </t>
    </r>
    <r>
      <rPr>
        <b/>
        <i/>
        <sz val="11"/>
        <color rgb="FF000000"/>
        <rFont val="Calibri"/>
        <scheme val="minor"/>
      </rPr>
      <t>training</t>
    </r>
  </si>
  <si>
    <t>Data Migration</t>
  </si>
  <si>
    <t>RSV</t>
  </si>
  <si>
    <t>MACRO PLANNING V.1</t>
  </si>
  <si>
    <t>Responsible of Document: Samira MHAMSA, </t>
  </si>
  <si>
    <r>
      <rPr>
        <sz val="12"/>
        <color rgb="FF000000"/>
        <rFont val="Calibri"/>
      </rPr>
      <t>Author:  Samira MHAMSA  22/09/2023</t>
    </r>
    <r>
      <rPr>
        <sz val="12"/>
        <color rgb="FF000000"/>
        <rFont val="WordVisiCarriageReturn_MSFontSe"/>
      </rPr>
      <t> </t>
    </r>
  </si>
  <si>
    <t>Validation:  </t>
  </si>
  <si>
    <t>Last update: Samira MHAMSA 29/09/2023</t>
  </si>
  <si>
    <t>Start</t>
  </si>
  <si>
    <t>End</t>
  </si>
  <si>
    <t>Duration</t>
  </si>
  <si>
    <t>Phase</t>
  </si>
  <si>
    <t>Vert. Position</t>
  </si>
  <si>
    <t>Vert. Ligne</t>
  </si>
  <si>
    <t>Proofread:  Fanta GABY, 28/09/2023</t>
  </si>
  <si>
    <t>Tasks</t>
  </si>
  <si>
    <t>Insérez les nouvelle lignes au-dessus de celle-ci</t>
  </si>
  <si>
    <t>Milestone</t>
  </si>
  <si>
    <t>Date</t>
  </si>
  <si>
    <t>Position</t>
  </si>
  <si>
    <t>Copil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</si>
</sst>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* #,##0\ &quot;€&quot;_-;\-* #,##0\ &quot;€&quot;_-;_-* &quot;-&quot;\ &quot;€&quot;_-;_-@_-"/>
    <numFmt numFmtId="44" formatCode="_-* #,##0.00\ &quot;€&quot;_-;\-* #,##0.00\ &quot;€&quot;_-;_-* &quot;-&quot;??\ &quot;€&quot;_-;_-@_-"/>
    <numFmt numFmtId="164" formatCode="_(* #,##0_);_(* \(#,##0\);_(* &quot;-&quot;_);_(@_)"/>
    <numFmt numFmtId="165" formatCode="_(* #,##0.00_);_(* \(#,##0.00\);_(* &quot;-&quot;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4" tint="-0.249977111117893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 Light"/>
      <family val="2"/>
      <scheme val="major"/>
    </font>
    <font>
      <b/>
      <sz val="11"/>
      <color theme="1" tint="0.249977111117893"/>
      <name val="Calibri"/>
      <family val="2"/>
      <scheme val="minor"/>
    </font>
    <font>
      <i/>
      <sz val="9"/>
      <color theme="4" tint="-0.249977111117893"/>
      <name val="Calibri"/>
      <family val="2"/>
      <scheme val="minor"/>
    </font>
    <font>
      <b/>
      <sz val="8"/>
      <color theme="1" tint="0.249977111117893"/>
      <name val="Calibri"/>
      <family val="2"/>
      <scheme val="minor"/>
    </font>
    <font>
      <b/>
      <i/>
      <sz val="8"/>
      <color theme="4" tint="-0.249977111117893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2"/>
      <color theme="1"/>
      <name val="Calibri"/>
      <family val="2"/>
      <scheme val="minor"/>
    </font>
    <font>
      <b/>
      <sz val="12"/>
      <color rgb="FF444444"/>
      <name val="Calibri"/>
      <family val="2"/>
      <charset val="1"/>
    </font>
    <font>
      <sz val="24"/>
      <color rgb="FF273691"/>
      <name val="Calibri"/>
      <scheme val="minor"/>
    </font>
    <font>
      <sz val="24"/>
      <color rgb="FF000000"/>
      <name val="Calibri"/>
      <scheme val="minor"/>
    </font>
    <font>
      <b/>
      <sz val="16"/>
      <color rgb="FF000000"/>
      <name val="Calibri"/>
      <family val="2"/>
      <charset val="1"/>
    </font>
    <font>
      <sz val="11"/>
      <color rgb="FF000000"/>
      <name val="Calibri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rgb="FF444444"/>
      <name val="Calibri"/>
    </font>
    <font>
      <sz val="12"/>
      <color rgb="FF000000"/>
      <name val="Calibri"/>
      <charset val="1"/>
    </font>
    <font>
      <sz val="12"/>
      <color rgb="FF000000"/>
      <name val="Calibri"/>
    </font>
    <font>
      <sz val="12"/>
      <color rgb="FF000000"/>
      <name val="WordVisiCarriageReturn_MSFontSe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scheme val="minor"/>
    </font>
    <font>
      <b/>
      <i/>
      <sz val="11"/>
      <color rgb="FF000000"/>
      <name val="Calibri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B4C6E7"/>
        <bgColor rgb="FFB4C6E7"/>
      </patternFill>
    </fill>
    <fill>
      <patternFill patternType="solid">
        <fgColor rgb="FFC6E0B4"/>
        <bgColor rgb="FFC6E0B4"/>
      </patternFill>
    </fill>
    <fill>
      <patternFill patternType="solid">
        <fgColor rgb="FFE3CAE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49">
    <xf numFmtId="0" fontId="0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165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2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8" fillId="5" borderId="0" applyNumberFormat="0" applyBorder="0" applyAlignment="0" applyProtection="0"/>
    <xf numFmtId="0" fontId="19" fillId="6" borderId="0" applyNumberFormat="0" applyBorder="0" applyAlignment="0" applyProtection="0"/>
    <xf numFmtId="0" fontId="20" fillId="7" borderId="6" applyNumberFormat="0" applyAlignment="0" applyProtection="0"/>
    <xf numFmtId="0" fontId="21" fillId="8" borderId="7" applyNumberFormat="0" applyAlignment="0" applyProtection="0"/>
    <xf numFmtId="0" fontId="22" fillId="8" borderId="6" applyNumberFormat="0" applyAlignment="0" applyProtection="0"/>
    <xf numFmtId="0" fontId="23" fillId="0" borderId="8" applyNumberFormat="0" applyFill="0" applyAlignment="0" applyProtection="0"/>
    <xf numFmtId="0" fontId="24" fillId="9" borderId="9" applyNumberFormat="0" applyAlignment="0" applyProtection="0"/>
    <xf numFmtId="0" fontId="25" fillId="0" borderId="0" applyNumberFormat="0" applyFill="0" applyBorder="0" applyAlignment="0" applyProtection="0"/>
    <xf numFmtId="0" fontId="12" fillId="10" borderId="10" applyNumberFormat="0" applyFont="0" applyAlignment="0" applyProtection="0"/>
    <xf numFmtId="0" fontId="26" fillId="0" borderId="0" applyNumberFormat="0" applyFill="0" applyBorder="0" applyAlignment="0" applyProtection="0"/>
    <xf numFmtId="0" fontId="27" fillId="0" borderId="11" applyNumberFormat="0" applyFill="0" applyAlignment="0" applyProtection="0"/>
    <xf numFmtId="0" fontId="28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28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28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28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28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2" fillId="30" borderId="0" applyNumberFormat="0" applyBorder="0" applyAlignment="0" applyProtection="0"/>
    <xf numFmtId="0" fontId="28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2" fillId="34" borderId="0" applyNumberFormat="0" applyBorder="0" applyAlignment="0" applyProtection="0"/>
  </cellStyleXfs>
  <cellXfs count="88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0" borderId="0" xfId="0" applyFont="1"/>
    <xf numFmtId="14" fontId="2" fillId="0" borderId="2" xfId="0" applyNumberFormat="1" applyFont="1" applyBorder="1" applyAlignment="1">
      <alignment horizontal="left" vertical="center" indent="1"/>
    </xf>
    <xf numFmtId="14" fontId="5" fillId="2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" fontId="2" fillId="0" borderId="2" xfId="0" applyNumberFormat="1" applyFont="1" applyBorder="1" applyAlignment="1">
      <alignment horizontal="left" vertical="center" indent="1"/>
    </xf>
    <xf numFmtId="14" fontId="6" fillId="2" borderId="2" xfId="0" applyNumberFormat="1" applyFont="1" applyFill="1" applyBorder="1" applyAlignment="1">
      <alignment horizontal="left" vertical="center" indent="1"/>
    </xf>
    <xf numFmtId="14" fontId="7" fillId="2" borderId="2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4" fontId="8" fillId="2" borderId="2" xfId="0" applyNumberFormat="1" applyFont="1" applyFill="1" applyBorder="1" applyAlignment="1">
      <alignment horizontal="left" vertical="center" indent="1"/>
    </xf>
    <xf numFmtId="0" fontId="9" fillId="0" borderId="0" xfId="0" applyFont="1"/>
    <xf numFmtId="0" fontId="29" fillId="0" borderId="0" xfId="0" applyFont="1"/>
    <xf numFmtId="14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left" vertical="center" indent="1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left" vertical="center" indent="1"/>
    </xf>
    <xf numFmtId="0" fontId="3" fillId="3" borderId="0" xfId="0" applyFont="1" applyFill="1" applyAlignment="1">
      <alignment horizontal="center" vertical="center"/>
    </xf>
    <xf numFmtId="0" fontId="0" fillId="0" borderId="12" xfId="0" applyBorder="1" applyAlignment="1">
      <alignment textRotation="45"/>
    </xf>
    <xf numFmtId="0" fontId="27" fillId="0" borderId="13" xfId="0" applyFont="1" applyBorder="1" applyAlignment="1">
      <alignment horizontal="center" vertical="center" textRotation="45"/>
    </xf>
    <xf numFmtId="0" fontId="0" fillId="0" borderId="13" xfId="0" applyBorder="1" applyAlignment="1">
      <alignment horizontal="center" vertical="center" textRotation="45"/>
    </xf>
    <xf numFmtId="0" fontId="0" fillId="0" borderId="13" xfId="0" applyBorder="1" applyAlignment="1">
      <alignment textRotation="45"/>
    </xf>
    <xf numFmtId="0" fontId="27" fillId="0" borderId="13" xfId="0" applyFont="1" applyBorder="1" applyAlignment="1">
      <alignment horizontal="center" textRotation="45"/>
    </xf>
    <xf numFmtId="0" fontId="0" fillId="0" borderId="13" xfId="0" applyBorder="1"/>
    <xf numFmtId="0" fontId="27" fillId="0" borderId="12" xfId="0" applyFont="1" applyBorder="1" applyAlignment="1">
      <alignment horizontal="center" vertical="center" textRotation="45"/>
    </xf>
    <xf numFmtId="0" fontId="0" fillId="0" borderId="14" xfId="0" applyBorder="1"/>
    <xf numFmtId="0" fontId="0" fillId="0" borderId="15" xfId="0" applyBorder="1"/>
    <xf numFmtId="0" fontId="0" fillId="0" borderId="0" xfId="0" applyAlignment="1">
      <alignment horizontal="center" vertical="center"/>
    </xf>
    <xf numFmtId="0" fontId="0" fillId="0" borderId="16" xfId="0" applyBorder="1"/>
    <xf numFmtId="0" fontId="0" fillId="0" borderId="17" xfId="0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0" fillId="0" borderId="0" xfId="0" applyAlignment="1">
      <alignment vertical="center"/>
    </xf>
    <xf numFmtId="0" fontId="32" fillId="0" borderId="0" xfId="0" applyFont="1" applyAlignment="1">
      <alignment horizontal="center" vertical="center"/>
    </xf>
    <xf numFmtId="0" fontId="32" fillId="0" borderId="0" xfId="0" applyFont="1"/>
    <xf numFmtId="0" fontId="34" fillId="41" borderId="19" xfId="0" applyFont="1" applyFill="1" applyBorder="1" applyAlignment="1">
      <alignment horizontal="center" vertical="center" textRotation="45" wrapText="1"/>
    </xf>
    <xf numFmtId="0" fontId="35" fillId="0" borderId="0" xfId="0" applyFont="1"/>
    <xf numFmtId="0" fontId="36" fillId="0" borderId="0" xfId="0" applyFont="1"/>
    <xf numFmtId="0" fontId="37" fillId="42" borderId="0" xfId="0" applyFont="1" applyFill="1" applyAlignment="1">
      <alignment vertical="center"/>
    </xf>
    <xf numFmtId="0" fontId="37" fillId="0" borderId="0" xfId="0" applyFont="1" applyAlignment="1">
      <alignment vertical="center"/>
    </xf>
    <xf numFmtId="0" fontId="38" fillId="42" borderId="0" xfId="0" applyFont="1" applyFill="1"/>
    <xf numFmtId="0" fontId="39" fillId="0" borderId="0" xfId="0" applyFont="1" applyAlignment="1">
      <alignment wrapText="1"/>
    </xf>
    <xf numFmtId="0" fontId="39" fillId="0" borderId="20" xfId="0" applyFont="1" applyBorder="1"/>
    <xf numFmtId="0" fontId="0" fillId="0" borderId="21" xfId="0" applyBorder="1"/>
    <xf numFmtId="0" fontId="0" fillId="0" borderId="22" xfId="0" applyBorder="1"/>
    <xf numFmtId="0" fontId="39" fillId="0" borderId="23" xfId="0" applyFont="1" applyBorder="1"/>
    <xf numFmtId="0" fontId="0" fillId="0" borderId="24" xfId="0" applyBorder="1"/>
    <xf numFmtId="0" fontId="39" fillId="0" borderId="25" xfId="0" applyFont="1" applyBorder="1"/>
    <xf numFmtId="0" fontId="0" fillId="0" borderId="26" xfId="0" applyBorder="1"/>
    <xf numFmtId="0" fontId="0" fillId="0" borderId="27" xfId="0" applyBorder="1"/>
    <xf numFmtId="14" fontId="42" fillId="0" borderId="2" xfId="0" applyNumberFormat="1" applyFont="1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4" fontId="42" fillId="0" borderId="2" xfId="0" applyNumberFormat="1" applyFont="1" applyBorder="1" applyAlignment="1">
      <alignment horizontal="left" vertical="center" indent="1"/>
    </xf>
    <xf numFmtId="0" fontId="33" fillId="41" borderId="0" xfId="0" applyFont="1" applyFill="1" applyAlignment="1">
      <alignment horizontal="center" vertical="center" textRotation="45"/>
    </xf>
    <xf numFmtId="0" fontId="27" fillId="40" borderId="15" xfId="0" applyFont="1" applyFill="1" applyBorder="1"/>
    <xf numFmtId="0" fontId="0" fillId="35" borderId="12" xfId="0" applyFill="1" applyBorder="1"/>
    <xf numFmtId="0" fontId="0" fillId="35" borderId="13" xfId="0" applyFill="1" applyBorder="1" applyAlignment="1">
      <alignment horizontal="center" vertical="center"/>
    </xf>
    <xf numFmtId="0" fontId="0" fillId="36" borderId="13" xfId="0" applyFill="1" applyBorder="1" applyAlignment="1">
      <alignment horizontal="center" vertical="center"/>
    </xf>
    <xf numFmtId="0" fontId="0" fillId="36" borderId="13" xfId="0" applyFill="1" applyBorder="1"/>
    <xf numFmtId="0" fontId="0" fillId="37" borderId="13" xfId="0" applyFill="1" applyBorder="1"/>
    <xf numFmtId="0" fontId="0" fillId="38" borderId="13" xfId="0" applyFill="1" applyBorder="1"/>
    <xf numFmtId="0" fontId="0" fillId="39" borderId="13" xfId="0" applyFill="1" applyBorder="1"/>
    <xf numFmtId="0" fontId="0" fillId="39" borderId="14" xfId="0" applyFill="1" applyBorder="1"/>
    <xf numFmtId="0" fontId="0" fillId="40" borderId="0" xfId="0" applyFill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7" fillId="40" borderId="0" xfId="0" applyFont="1" applyFill="1" applyAlignment="1">
      <alignment horizontal="left" vertical="center"/>
    </xf>
    <xf numFmtId="0" fontId="0" fillId="40" borderId="0" xfId="0" applyFill="1"/>
    <xf numFmtId="0" fontId="27" fillId="40" borderId="0" xfId="0" applyFont="1" applyFill="1"/>
    <xf numFmtId="0" fontId="43" fillId="40" borderId="0" xfId="0" applyFont="1" applyFill="1"/>
    <xf numFmtId="0" fontId="0" fillId="0" borderId="28" xfId="0" applyBorder="1" applyAlignment="1">
      <alignment horizontal="center" vertical="center"/>
    </xf>
    <xf numFmtId="0" fontId="27" fillId="40" borderId="28" xfId="0" applyFont="1" applyFill="1" applyBorder="1"/>
    <xf numFmtId="0" fontId="0" fillId="40" borderId="17" xfId="0" applyFill="1" applyBorder="1"/>
    <xf numFmtId="0" fontId="30" fillId="0" borderId="12" xfId="0" applyFont="1" applyBorder="1" applyAlignment="1">
      <alignment horizontal="left"/>
    </xf>
    <xf numFmtId="0" fontId="30" fillId="0" borderId="13" xfId="0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0" fontId="30" fillId="0" borderId="13" xfId="0" applyFont="1" applyBorder="1" applyAlignment="1">
      <alignment vertical="center"/>
    </xf>
    <xf numFmtId="0" fontId="30" fillId="0" borderId="12" xfId="0" applyFont="1" applyBorder="1" applyAlignment="1">
      <alignment vertical="center"/>
    </xf>
    <xf numFmtId="0" fontId="30" fillId="0" borderId="13" xfId="0" applyFont="1" applyBorder="1"/>
    <xf numFmtId="0" fontId="30" fillId="0" borderId="14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4" xfId="0" applyFont="1" applyBorder="1"/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0" xfId="0" applyFont="1"/>
  </cellXfs>
  <cellStyles count="49">
    <cellStyle name="20% - Accent1" xfId="26" builtinId="30" customBuiltin="1"/>
    <cellStyle name="20% - Accent2" xfId="30" builtinId="34" customBuiltin="1"/>
    <cellStyle name="20% - Accent3" xfId="34" builtinId="38" customBuiltin="1"/>
    <cellStyle name="20% - Accent4" xfId="38" builtinId="42" customBuiltin="1"/>
    <cellStyle name="20% - Accent5" xfId="42" builtinId="46" customBuiltin="1"/>
    <cellStyle name="20% - Accent6" xfId="46" builtinId="50" customBuiltin="1"/>
    <cellStyle name="40% - Accent1" xfId="27" builtinId="31" customBuiltin="1"/>
    <cellStyle name="40% - Accent2" xfId="31" builtinId="35" customBuiltin="1"/>
    <cellStyle name="40% - Accent3" xfId="35" builtinId="39" customBuiltin="1"/>
    <cellStyle name="40% - Accent4" xfId="39" builtinId="43" customBuiltin="1"/>
    <cellStyle name="40% - Accent5" xfId="43" builtinId="47" customBuiltin="1"/>
    <cellStyle name="40% - Accent6" xfId="47" builtinId="51" customBuiltin="1"/>
    <cellStyle name="60% - Accent1" xfId="28" builtinId="32" customBuiltin="1"/>
    <cellStyle name="60% - Accent2" xfId="32" builtinId="36" customBuiltin="1"/>
    <cellStyle name="60% - Accent3" xfId="36" builtinId="40" customBuiltin="1"/>
    <cellStyle name="60% - Accent4" xfId="40" builtinId="44" customBuiltin="1"/>
    <cellStyle name="60% - Accent5" xfId="44" builtinId="48" customBuiltin="1"/>
    <cellStyle name="60% - Accent6" xfId="48" builtinId="52" customBuiltin="1"/>
    <cellStyle name="Accent1" xfId="25" builtinId="29" customBuiltin="1"/>
    <cellStyle name="Accent2" xfId="29" builtinId="33" customBuiltin="1"/>
    <cellStyle name="Accent3" xfId="33" builtinId="37" customBuiltin="1"/>
    <cellStyle name="Accent4" xfId="37" builtinId="41" customBuiltin="1"/>
    <cellStyle name="Accent5" xfId="41" builtinId="45" customBuiltin="1"/>
    <cellStyle name="Accent6" xfId="45" builtinId="49" customBuiltin="1"/>
    <cellStyle name="Bad" xfId="14" builtinId="27" customBuiltin="1"/>
    <cellStyle name="Calculation" xfId="18" builtinId="22" customBuiltin="1"/>
    <cellStyle name="Check Cell" xfId="20" builtinId="23" customBuiltin="1"/>
    <cellStyle name="Comma" xfId="3" builtinId="3" customBuiltin="1"/>
    <cellStyle name="Comma [0]" xfId="4" builtinId="6" customBuiltin="1"/>
    <cellStyle name="Currency" xfId="5" builtinId="4" customBuiltin="1"/>
    <cellStyle name="Currency [0]" xfId="6" builtinId="7" customBuiltin="1"/>
    <cellStyle name="Explanatory Text" xfId="23" builtinId="53" customBuiltin="1"/>
    <cellStyle name="Followed Hyperlink" xfId="2" builtinId="9" customBuiltin="1"/>
    <cellStyle name="Good" xfId="13" builtinId="26" customBuiltin="1"/>
    <cellStyle name="Heading 1" xfId="9" builtinId="16" customBuiltin="1"/>
    <cellStyle name="Heading 2" xfId="10" builtinId="17" customBuiltin="1"/>
    <cellStyle name="Heading 3" xfId="11" builtinId="18" customBuiltin="1"/>
    <cellStyle name="Heading 4" xfId="12" builtinId="19" customBuiltin="1"/>
    <cellStyle name="Hyperlink" xfId="1" builtinId="8" customBuiltin="1"/>
    <cellStyle name="Input" xfId="16" builtinId="20" customBuiltin="1"/>
    <cellStyle name="Linked Cell" xfId="19" builtinId="24" customBuiltin="1"/>
    <cellStyle name="Neutral" xfId="15" builtinId="28" customBuiltin="1"/>
    <cellStyle name="Normal" xfId="0" builtinId="0" customBuiltin="1"/>
    <cellStyle name="Note" xfId="22" builtinId="10" customBuiltin="1"/>
    <cellStyle name="Output" xfId="17" builtinId="21" customBuiltin="1"/>
    <cellStyle name="Percent" xfId="7" builtinId="5" customBuiltin="1"/>
    <cellStyle name="Title" xfId="8" builtinId="15" customBuiltin="1"/>
    <cellStyle name="Total" xfId="24" builtinId="25" customBuiltin="1"/>
    <cellStyle name="Warning Text" xfId="21" builtinId="11" customBuiltin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1"/>
          <a:lstStyle/>
          <a:p>
            <a:pPr>
              <a:defRPr sz="1800" b="1" i="0" u="none" strike="noStrike" kern="1200" spc="0" baseline="0">
                <a:solidFill>
                  <a:schemeClr val="accent1">
                    <a:lumMod val="75000"/>
                  </a:schemeClr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MACRO PLANNING</a:t>
            </a:r>
          </a:p>
        </c:rich>
      </c:tx>
      <c:layout>
        <c:manualLayout>
          <c:xMode val="edge"/>
          <c:yMode val="edge"/>
          <c:x val="0.30473197698990029"/>
          <c:y val="3.1403339839978964E-2"/>
        </c:manualLayout>
      </c:layout>
      <c:overlay val="0"/>
      <c:spPr>
        <a:solidFill>
          <a:srgbClr val="FFFFFF"/>
        </a:solidFill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6978185383786448E-2"/>
          <c:y val="7.8828945337177894E-2"/>
          <c:w val="0.87548045355302873"/>
          <c:h val="0.89401558523578717"/>
        </c:manualLayout>
      </c:layout>
      <c:scatterChart>
        <c:scatterStyle val="lineMarker"/>
        <c:varyColors val="0"/>
        <c:ser>
          <c:idx val="1"/>
          <c:order val="0"/>
          <c:tx>
            <c:v>Tâches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2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0DD4-4B26-9974-65F8130231F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3D4EEBD-F266-4FD4-A70E-5F8343386455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DD4-4B26-9974-65F8130231F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5B6DFBF-2108-4D93-895C-3BC4D3AB087F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DD4-4B26-9974-65F8130231F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90F882B-58BB-44F2-92C2-F9861429AC38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DD4-4B26-9974-65F8130231F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9AE51E6-2BD1-457E-83A1-66C99DC283E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DD4-4B26-9974-65F8130231F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D264385-164B-49A3-A01A-4AEB7A96566B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DD4-4B26-9974-65F8130231F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9E1DFB8-7112-4DE4-A750-CADB24EE0FC5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DD4-4B26-9974-65F8130231F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F6D1AEB-2A11-4D02-8A60-7B50FC588FC8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DD4-4B26-9974-65F8130231F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15F2EB8-597F-4727-ACF6-FC6528A0D907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DD4-4B26-9974-65F8130231F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E9E6D9F-776F-4D67-9398-3A66F0E9E3EF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DD4-4B26-9974-65F8130231F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0DD4-4B26-9974-65F8130231FA}"/>
                </c:ext>
              </c:extLst>
            </c:dLbl>
            <c:spPr>
              <a:solidFill>
                <a:schemeClr val="bg1">
                  <a:alpha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spc="-3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x"/>
            <c:errBarType val="plus"/>
            <c:errValType val="cust"/>
            <c:noEndCap val="1"/>
            <c:plus>
              <c:numRef>
                <c:f>'Macro Planning V1'!$I$8:$I$18</c:f>
                <c:numCache>
                  <c:formatCode>General</c:formatCode>
                  <c:ptCount val="11"/>
                  <c:pt idx="1">
                    <c:v>14</c:v>
                  </c:pt>
                  <c:pt idx="2">
                    <c:v>18</c:v>
                  </c:pt>
                  <c:pt idx="3">
                    <c:v>20</c:v>
                  </c:pt>
                  <c:pt idx="4">
                    <c:v>18</c:v>
                  </c:pt>
                  <c:pt idx="5">
                    <c:v>14</c:v>
                  </c:pt>
                  <c:pt idx="6">
                    <c:v>7</c:v>
                  </c:pt>
                  <c:pt idx="7">
                    <c:v>7</c:v>
                  </c:pt>
                  <c:pt idx="8">
                    <c:v>7</c:v>
                  </c:pt>
                  <c:pt idx="9">
                    <c:v>14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52400" cap="flat" cmpd="sng" algn="ctr">
                <a:solidFill>
                  <a:schemeClr val="accent1"/>
                </a:solidFill>
                <a:round/>
              </a:ln>
              <a:effectLst/>
            </c:spPr>
          </c:errBars>
          <c:errBars>
            <c:errDir val="y"/>
            <c:errBarType val="minus"/>
            <c:errValType val="cust"/>
            <c:noEndCap val="1"/>
            <c:plus>
              <c:numLit>
                <c:formatCode>General</c:formatCode>
                <c:ptCount val="1"/>
                <c:pt idx="0">
                  <c:v>0</c:v>
                </c:pt>
              </c:numLit>
            </c:plus>
            <c:minus>
              <c:numRef>
                <c:f>'Macro Planning V1'!$L$8:$L$18</c:f>
                <c:numCache>
                  <c:formatCode>General</c:formatCode>
                  <c:ptCount val="11"/>
                  <c:pt idx="1">
                    <c:v>-25</c:v>
                  </c:pt>
                  <c:pt idx="2">
                    <c:v>-15</c:v>
                  </c:pt>
                  <c:pt idx="3">
                    <c:v>-15</c:v>
                  </c:pt>
                  <c:pt idx="4">
                    <c:v>-80</c:v>
                  </c:pt>
                  <c:pt idx="5">
                    <c:v>-30</c:v>
                  </c:pt>
                  <c:pt idx="6">
                    <c:v>-15</c:v>
                  </c:pt>
                  <c:pt idx="7">
                    <c:v>-20</c:v>
                  </c:pt>
                  <c:pt idx="8">
                    <c:v>-40</c:v>
                  </c:pt>
                  <c:pt idx="9">
                    <c:v>-15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accent1">
                    <a:lumMod val="75000"/>
                    <a:alpha val="70000"/>
                  </a:schemeClr>
                </a:solidFill>
                <a:prstDash val="solid"/>
                <a:round/>
              </a:ln>
              <a:effectLst/>
            </c:spPr>
          </c:errBars>
          <c:xVal>
            <c:numRef>
              <c:f>'Macro Planning V1'!$G$8:$G$18</c:f>
              <c:numCache>
                <c:formatCode>m/d/yyyy</c:formatCode>
                <c:ptCount val="11"/>
                <c:pt idx="1">
                  <c:v>45159</c:v>
                </c:pt>
                <c:pt idx="2">
                  <c:v>45173</c:v>
                </c:pt>
                <c:pt idx="3">
                  <c:v>45194</c:v>
                </c:pt>
                <c:pt idx="4">
                  <c:v>45215</c:v>
                </c:pt>
                <c:pt idx="5">
                  <c:v>45222</c:v>
                </c:pt>
                <c:pt idx="6">
                  <c:v>45236</c:v>
                </c:pt>
                <c:pt idx="7">
                  <c:v>45236</c:v>
                </c:pt>
                <c:pt idx="8">
                  <c:v>45236</c:v>
                </c:pt>
                <c:pt idx="9">
                  <c:v>45243</c:v>
                </c:pt>
              </c:numCache>
            </c:numRef>
          </c:xVal>
          <c:yVal>
            <c:numRef>
              <c:f>'Macro Planning V1'!$K$8:$K$18</c:f>
              <c:numCache>
                <c:formatCode>General</c:formatCode>
                <c:ptCount val="11"/>
                <c:pt idx="1">
                  <c:v>-25</c:v>
                </c:pt>
                <c:pt idx="2">
                  <c:v>-40</c:v>
                </c:pt>
                <c:pt idx="3">
                  <c:v>-55</c:v>
                </c:pt>
                <c:pt idx="4">
                  <c:v>-80</c:v>
                </c:pt>
                <c:pt idx="5">
                  <c:v>-30</c:v>
                </c:pt>
                <c:pt idx="6">
                  <c:v>-45</c:v>
                </c:pt>
                <c:pt idx="7">
                  <c:v>-20</c:v>
                </c:pt>
                <c:pt idx="8">
                  <c:v>-60</c:v>
                </c:pt>
                <c:pt idx="9">
                  <c:v>-75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'Macro Planning V1'!$J$8:$J$18</c15:f>
                <c15:dlblRangeCache>
                  <c:ptCount val="11"/>
                  <c:pt idx="1">
                    <c:v>Scoping Meeting </c:v>
                  </c:pt>
                  <c:pt idx="2">
                    <c:v>Preparation Phase </c:v>
                  </c:pt>
                  <c:pt idx="3">
                    <c:v>Design Phase </c:v>
                  </c:pt>
                  <c:pt idx="4">
                    <c:v>Build Phase </c:v>
                  </c:pt>
                  <c:pt idx="5">
                    <c:v>Unit Tests &amp; Integrations Tests </c:v>
                  </c:pt>
                  <c:pt idx="6">
                    <c:v>Users Acceptance Tests </c:v>
                  </c:pt>
                  <c:pt idx="7">
                    <c:v>Training </c:v>
                  </c:pt>
                  <c:pt idx="8">
                    <c:v>Data Migration </c:v>
                  </c:pt>
                  <c:pt idx="9">
                    <c:v>RVS </c:v>
                  </c:pt>
                  <c:pt idx="10">
                    <c:v>Insérez les nouvelle lignes au-dessus de celle-ci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0DD4-4B26-9974-65F8130231FA}"/>
            </c:ext>
          </c:extLst>
        </c:ser>
        <c:ser>
          <c:idx val="0"/>
          <c:order val="1"/>
          <c:tx>
            <c:v>Jalons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4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dPt>
            <c:idx val="0"/>
            <c:marker>
              <c:spPr>
                <a:solidFill>
                  <a:schemeClr val="accent6">
                    <a:lumMod val="75000"/>
                  </a:schemeClr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0DD4-4B26-9974-65F8130231FA}"/>
              </c:ext>
            </c:extLst>
          </c:dPt>
          <c:dPt>
            <c:idx val="1"/>
            <c:marker>
              <c:symbol val="circle"/>
              <c:size val="14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0DD4-4B26-9974-65F8130231FA}"/>
              </c:ext>
            </c:extLst>
          </c:dPt>
          <c:dPt>
            <c:idx val="9"/>
            <c:marker>
              <c:symbol val="picture"/>
              <c:spPr>
                <a:blipFill>
                  <a:blip xmlns:r="http://schemas.openxmlformats.org/officeDocument/2006/relationships" r:embed="rId1"/>
                  <a:stretch>
                    <a:fillRect/>
                  </a:stretch>
                </a:blip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0DD4-4B26-9974-65F8130231FA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0DD4-4B26-9974-65F8130231F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C8F29B7-E41E-4C36-988E-807834B0334F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DD4-4B26-9974-65F8130231F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869B934-7153-49A3-A2A9-440AE3A9D46E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0DD4-4B26-9974-65F8130231F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66D00FB-F10A-4DB4-9364-8DFB6F973EB7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0DD4-4B26-9974-65F8130231F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879BF6E-E68D-4387-8177-3510485F817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DD4-4B26-9974-65F8130231F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065813F-2BD2-4629-8ECF-A6D77F141154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0DD4-4B26-9974-65F8130231F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5E1E9C5-21B0-455A-BF46-A5220DF5EA94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0DD4-4B26-9974-65F8130231F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EE67954-7770-4620-B326-6AC7B9FF7488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0DD4-4B26-9974-65F8130231F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F7362B8-435C-4E5A-9115-E860A473F55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0DD4-4B26-9974-65F8130231F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ABCDB58-5BC9-4B14-997A-8C27CCAE8F2D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0DD4-4B26-9974-65F8130231F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0DD4-4B26-9974-65F8130231FA}"/>
                </c:ext>
              </c:extLst>
            </c:dLbl>
            <c:spPr>
              <a:solidFill>
                <a:schemeClr val="bg1">
                  <a:alpha val="5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minus"/>
            <c:errValType val="percentage"/>
            <c:noEndCap val="1"/>
            <c:val val="100"/>
            <c:spPr>
              <a:noFill/>
              <a:ln w="12700" cap="flat" cmpd="sng" algn="ctr">
                <a:solidFill>
                  <a:schemeClr val="tx1">
                    <a:lumMod val="75000"/>
                    <a:lumOff val="25000"/>
                  </a:schemeClr>
                </a:solidFill>
                <a:prstDash val="dash"/>
                <a:round/>
              </a:ln>
              <a:effectLst/>
            </c:spPr>
          </c:errBars>
          <c:xVal>
            <c:numRef>
              <c:f>'Macro Planning V1'!$G$22:$G$32</c:f>
              <c:numCache>
                <c:formatCode>m/d/yyyy</c:formatCode>
                <c:ptCount val="11"/>
                <c:pt idx="1">
                  <c:v>45159</c:v>
                </c:pt>
                <c:pt idx="2">
                  <c:v>45181</c:v>
                </c:pt>
                <c:pt idx="3">
                  <c:v>45189</c:v>
                </c:pt>
                <c:pt idx="4">
                  <c:v>45198</c:v>
                </c:pt>
                <c:pt idx="5">
                  <c:v>45198</c:v>
                </c:pt>
                <c:pt idx="6">
                  <c:v>45210</c:v>
                </c:pt>
                <c:pt idx="7">
                  <c:v>45219</c:v>
                </c:pt>
                <c:pt idx="8">
                  <c:v>45251</c:v>
                </c:pt>
                <c:pt idx="9">
                  <c:v>45252</c:v>
                </c:pt>
              </c:numCache>
            </c:numRef>
          </c:xVal>
          <c:yVal>
            <c:numRef>
              <c:f>'Macro Planning V1'!$K$22:$K$32</c:f>
              <c:numCache>
                <c:formatCode>General</c:formatCode>
                <c:ptCount val="11"/>
                <c:pt idx="1">
                  <c:v>30</c:v>
                </c:pt>
                <c:pt idx="2">
                  <c:v>10</c:v>
                </c:pt>
                <c:pt idx="3">
                  <c:v>15</c:v>
                </c:pt>
                <c:pt idx="4">
                  <c:v>10</c:v>
                </c:pt>
                <c:pt idx="5">
                  <c:v>30</c:v>
                </c:pt>
                <c:pt idx="6">
                  <c:v>20</c:v>
                </c:pt>
                <c:pt idx="7">
                  <c:v>25</c:v>
                </c:pt>
                <c:pt idx="8">
                  <c:v>10</c:v>
                </c:pt>
                <c:pt idx="9">
                  <c:v>30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'Macro Planning V1'!$J$22:$J$32</c15:f>
                <c15:dlblRangeCache>
                  <c:ptCount val="11"/>
                  <c:pt idx="1">
                    <c:v> START </c:v>
                  </c:pt>
                  <c:pt idx="2">
                    <c:v> Pre-Copil </c:v>
                  </c:pt>
                  <c:pt idx="3">
                    <c:v> Copil </c:v>
                  </c:pt>
                  <c:pt idx="4">
                    <c:v> Codir </c:v>
                  </c:pt>
                  <c:pt idx="5">
                    <c:v> KICK OFF 29/09/2023 </c:v>
                  </c:pt>
                  <c:pt idx="6">
                    <c:v> Pre-Copil </c:v>
                  </c:pt>
                  <c:pt idx="7">
                    <c:v>Copil</c:v>
                  </c:pt>
                  <c:pt idx="8">
                    <c:v> Forecast-Copil </c:v>
                  </c:pt>
                  <c:pt idx="9">
                    <c:v> GO LIVE 22/11/2023</c:v>
                  </c:pt>
                  <c:pt idx="10">
                    <c:v>Insérez les nouvelle lignes au-dessus de celle-ci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7-0DD4-4B26-9974-65F813023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833240"/>
        <c:axId val="484834552"/>
      </c:scatterChart>
      <c:valAx>
        <c:axId val="484833240"/>
        <c:scaling>
          <c:orientation val="minMax"/>
          <c:max val="45280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solidFill>
            <a:srgbClr val="FFFFFF"/>
          </a:solidFill>
          <a:ln w="63500"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834552"/>
        <c:crosses val="autoZero"/>
        <c:crossBetween val="midCat"/>
      </c:valAx>
      <c:valAx>
        <c:axId val="484834552"/>
        <c:scaling>
          <c:orientation val="minMax"/>
          <c:max val="50"/>
          <c:min val="-100"/>
        </c:scaling>
        <c:delete val="1"/>
        <c:axPos val="l"/>
        <c:numFmt formatCode="General" sourceLinked="1"/>
        <c:majorTickMark val="in"/>
        <c:minorTickMark val="in"/>
        <c:tickLblPos val="low"/>
        <c:crossAx val="484833240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914400</xdr:colOff>
      <xdr:row>3</xdr:row>
      <xdr:rowOff>104775</xdr:rowOff>
    </xdr:from>
    <xdr:to>
      <xdr:col>15</xdr:col>
      <xdr:colOff>95250</xdr:colOff>
      <xdr:row>32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B839923F-7D85-438C-AD56-0436A7BEDD22}"/>
            </a:ext>
            <a:ext uri="{147F2762-F138-4A5C-976F-8EAC2B608ADB}">
              <a16:predDERef xmlns:a16="http://schemas.microsoft.com/office/drawing/2014/main" pred="{6324F52B-D3EC-4F40-ADA0-198ADBB979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CE81B-DCFD-43D0-8EBB-923D4A282EF2}">
  <dimension ref="A1:CG18"/>
  <sheetViews>
    <sheetView tabSelected="1" workbookViewId="0">
      <selection activeCell="K6" sqref="K6"/>
    </sheetView>
  </sheetViews>
  <sheetFormatPr defaultRowHeight="15"/>
  <cols>
    <col min="9" max="9" width="11.28515625" customWidth="1"/>
    <col min="10" max="10" width="16.42578125" customWidth="1"/>
    <col min="11" max="11" width="11.140625" bestFit="1" customWidth="1"/>
    <col min="12" max="12" width="15.140625" customWidth="1"/>
  </cols>
  <sheetData>
    <row r="1" spans="1:85" s="41" customFormat="1" ht="43.5" customHeight="1">
      <c r="A1" s="42"/>
      <c r="B1" s="42"/>
      <c r="C1" s="42"/>
      <c r="D1" s="42"/>
      <c r="E1" s="42"/>
      <c r="F1" s="42"/>
      <c r="G1" s="42"/>
      <c r="H1" s="42" t="s">
        <v>0</v>
      </c>
      <c r="I1" s="42"/>
      <c r="J1" s="42"/>
      <c r="K1" s="42"/>
      <c r="L1" s="42"/>
      <c r="M1" s="42"/>
      <c r="N1" s="42"/>
      <c r="O1" s="42"/>
      <c r="P1" s="42"/>
      <c r="Q1" s="42"/>
      <c r="R1" s="42"/>
    </row>
    <row r="6" spans="1:85" ht="82.5">
      <c r="A6" s="36"/>
      <c r="B6" s="37"/>
      <c r="C6" s="37"/>
      <c r="D6" s="38"/>
      <c r="E6" s="31"/>
      <c r="F6" s="57" t="s">
        <v>1</v>
      </c>
      <c r="G6" s="38"/>
      <c r="H6" s="38"/>
      <c r="I6" s="38"/>
      <c r="J6" s="38"/>
      <c r="K6" s="38"/>
      <c r="L6" s="38"/>
      <c r="M6" s="39" t="s">
        <v>2</v>
      </c>
      <c r="N6" s="38"/>
      <c r="O6" s="38"/>
      <c r="P6" s="38"/>
      <c r="Q6" s="38"/>
      <c r="R6" s="38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87"/>
      <c r="AO6" s="87"/>
      <c r="AP6" s="87"/>
      <c r="AQ6" s="87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87"/>
      <c r="BF6" s="87"/>
      <c r="BG6" s="87"/>
      <c r="BH6" s="87"/>
      <c r="BI6" s="87"/>
      <c r="BJ6" s="87"/>
      <c r="BK6" s="87"/>
      <c r="BL6" s="87"/>
      <c r="BM6" s="87"/>
      <c r="BN6" s="87"/>
      <c r="BO6" s="87"/>
      <c r="BP6" s="87"/>
      <c r="BQ6" s="87"/>
      <c r="BR6" s="87"/>
      <c r="BS6" s="87"/>
      <c r="BT6" s="87"/>
      <c r="BU6" s="87"/>
      <c r="BV6" s="87"/>
      <c r="BW6" s="87"/>
      <c r="BX6" s="87"/>
      <c r="BY6" s="87"/>
      <c r="BZ6" s="87"/>
      <c r="CA6" s="87"/>
      <c r="CB6" s="87"/>
      <c r="CC6" s="87"/>
      <c r="CD6" s="87"/>
      <c r="CE6" s="87"/>
      <c r="CF6" s="87"/>
      <c r="CG6" s="87"/>
    </row>
    <row r="7" spans="1:85" ht="64.5">
      <c r="A7" s="22"/>
      <c r="B7" s="23" t="s">
        <v>3</v>
      </c>
      <c r="C7" s="24"/>
      <c r="D7" s="25"/>
      <c r="E7" s="26" t="s">
        <v>4</v>
      </c>
      <c r="F7" s="26" t="s">
        <v>5</v>
      </c>
      <c r="G7" s="25"/>
      <c r="H7" s="25"/>
      <c r="I7" s="26" t="s">
        <v>6</v>
      </c>
      <c r="J7" s="25"/>
      <c r="K7" s="25"/>
      <c r="L7" s="27"/>
      <c r="M7" s="28" t="s">
        <v>7</v>
      </c>
      <c r="N7" s="25"/>
      <c r="O7" s="27"/>
      <c r="P7" s="27"/>
      <c r="Q7" s="27"/>
      <c r="R7" s="29"/>
    </row>
    <row r="8" spans="1:85" ht="15.75">
      <c r="A8" s="76" t="s">
        <v>8</v>
      </c>
      <c r="B8" s="77"/>
      <c r="C8" s="78" t="s">
        <v>9</v>
      </c>
      <c r="D8" s="79"/>
      <c r="E8" s="79"/>
      <c r="F8" s="79"/>
      <c r="G8" s="80" t="s">
        <v>10</v>
      </c>
      <c r="H8" s="79"/>
      <c r="I8" s="81"/>
      <c r="J8" s="82"/>
      <c r="K8" s="83" t="s">
        <v>11</v>
      </c>
      <c r="L8" s="77"/>
      <c r="M8" s="77"/>
      <c r="N8" s="84"/>
      <c r="O8" s="83" t="s">
        <v>12</v>
      </c>
      <c r="P8" s="27"/>
      <c r="Q8" s="85"/>
      <c r="R8" s="86"/>
    </row>
    <row r="9" spans="1:85">
      <c r="A9" s="59"/>
      <c r="B9" s="60"/>
      <c r="C9" s="61"/>
      <c r="D9" s="62"/>
      <c r="E9" s="62"/>
      <c r="F9" s="62"/>
      <c r="G9" s="63"/>
      <c r="H9" s="63"/>
      <c r="I9" s="63"/>
      <c r="J9" s="63"/>
      <c r="K9" s="64"/>
      <c r="L9" s="64"/>
      <c r="M9" s="64"/>
      <c r="N9" s="64"/>
      <c r="O9" s="65"/>
      <c r="P9" s="65"/>
      <c r="Q9" s="65"/>
      <c r="R9" s="66"/>
    </row>
    <row r="10" spans="1:85">
      <c r="A10" s="30"/>
      <c r="B10" s="31"/>
      <c r="C10" s="31"/>
      <c r="R10" s="32"/>
    </row>
    <row r="11" spans="1:85">
      <c r="A11" s="58" t="s">
        <v>13</v>
      </c>
      <c r="B11" s="67"/>
      <c r="C11" s="31"/>
      <c r="R11" s="32"/>
    </row>
    <row r="12" spans="1:85">
      <c r="A12" s="68"/>
      <c r="B12" s="31"/>
      <c r="C12" s="69" t="s">
        <v>14</v>
      </c>
      <c r="D12" s="67"/>
      <c r="E12" s="70"/>
      <c r="R12" s="32"/>
    </row>
    <row r="13" spans="1:85">
      <c r="A13" s="68"/>
      <c r="B13" s="31"/>
      <c r="C13" s="31"/>
      <c r="E13" s="31"/>
      <c r="F13" s="71" t="s">
        <v>15</v>
      </c>
      <c r="G13" s="70"/>
      <c r="H13" s="70"/>
      <c r="R13" s="32"/>
    </row>
    <row r="14" spans="1:85">
      <c r="A14" s="68"/>
      <c r="B14" s="31"/>
      <c r="C14" s="31"/>
      <c r="I14" s="71" t="s">
        <v>16</v>
      </c>
      <c r="J14" s="70"/>
      <c r="K14" s="70"/>
      <c r="R14" s="32"/>
    </row>
    <row r="15" spans="1:85">
      <c r="A15" s="68"/>
      <c r="B15" s="31"/>
      <c r="C15" s="31"/>
      <c r="J15" s="71" t="s">
        <v>17</v>
      </c>
      <c r="K15" s="70"/>
      <c r="R15" s="32"/>
    </row>
    <row r="16" spans="1:85">
      <c r="A16" s="68"/>
      <c r="B16" s="31"/>
      <c r="C16" s="31"/>
      <c r="L16" s="72" t="s">
        <v>18</v>
      </c>
      <c r="R16" s="32"/>
    </row>
    <row r="17" spans="1:18">
      <c r="A17" s="68"/>
      <c r="B17" s="31"/>
      <c r="C17" s="31"/>
      <c r="L17" s="71" t="s">
        <v>19</v>
      </c>
      <c r="R17" s="32"/>
    </row>
    <row r="18" spans="1:18">
      <c r="A18" s="73"/>
      <c r="B18" s="33"/>
      <c r="C18" s="33"/>
      <c r="D18" s="34"/>
      <c r="E18" s="34"/>
      <c r="F18" s="34"/>
      <c r="G18" s="34"/>
      <c r="H18" s="34"/>
      <c r="I18" s="34"/>
      <c r="J18" s="34"/>
      <c r="K18" s="34"/>
      <c r="L18" s="34"/>
      <c r="M18" s="74" t="s">
        <v>20</v>
      </c>
      <c r="N18" s="75"/>
      <c r="O18" s="34"/>
      <c r="P18" s="34"/>
      <c r="Q18" s="34"/>
      <c r="R18" s="3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ED695-63DB-475B-89F7-AC927F169BD9}">
  <dimension ref="A1:R60"/>
  <sheetViews>
    <sheetView showGridLines="0" topLeftCell="A27" workbookViewId="0">
      <selection activeCell="J30" sqref="J30"/>
    </sheetView>
  </sheetViews>
  <sheetFormatPr defaultColWidth="9.140625" defaultRowHeight="15"/>
  <cols>
    <col min="1" max="1" width="3.7109375" customWidth="1"/>
    <col min="2" max="3" width="17.28515625" customWidth="1"/>
    <col min="4" max="4" width="14.5703125" customWidth="1"/>
    <col min="5" max="5" width="43.7109375" customWidth="1"/>
    <col min="6" max="7" width="18.7109375" customWidth="1"/>
    <col min="8" max="8" width="11.7109375" bestFit="1" customWidth="1"/>
    <col min="9" max="9" width="5.5703125" customWidth="1"/>
    <col min="10" max="10" width="35.7109375" bestFit="1" customWidth="1"/>
    <col min="11" max="11" width="16.85546875" bestFit="1" customWidth="1"/>
    <col min="12" max="12" width="13.5703125" bestFit="1" customWidth="1"/>
  </cols>
  <sheetData>
    <row r="1" spans="1:18" ht="31.5">
      <c r="A1" s="42"/>
      <c r="B1" s="42"/>
      <c r="C1" s="44" t="s">
        <v>21</v>
      </c>
      <c r="D1" s="42"/>
      <c r="E1" s="42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</row>
    <row r="4" spans="1:18" ht="15.75">
      <c r="B4" s="46" t="s">
        <v>22</v>
      </c>
      <c r="C4" s="47"/>
      <c r="D4" s="48"/>
    </row>
    <row r="5" spans="1:18" ht="15.75">
      <c r="B5" s="49" t="s">
        <v>23</v>
      </c>
      <c r="D5" s="50"/>
    </row>
    <row r="6" spans="1:18" ht="15.75">
      <c r="B6" s="49" t="s">
        <v>24</v>
      </c>
      <c r="D6" s="50"/>
    </row>
    <row r="7" spans="1:18" ht="18.75">
      <c r="B7" s="49" t="s">
        <v>25</v>
      </c>
      <c r="D7" s="50"/>
      <c r="G7" s="21" t="s">
        <v>26</v>
      </c>
      <c r="H7" s="21" t="s">
        <v>27</v>
      </c>
      <c r="I7" s="21" t="s">
        <v>28</v>
      </c>
      <c r="J7" s="21" t="s">
        <v>29</v>
      </c>
      <c r="K7" s="21" t="s">
        <v>30</v>
      </c>
      <c r="L7" s="21" t="s">
        <v>31</v>
      </c>
    </row>
    <row r="8" spans="1:18" ht="15.75">
      <c r="B8" s="51" t="s">
        <v>32</v>
      </c>
      <c r="C8" s="52"/>
      <c r="D8" s="53"/>
      <c r="G8" s="10"/>
      <c r="H8" s="10"/>
      <c r="I8" s="11"/>
      <c r="J8" s="12"/>
      <c r="K8" s="11"/>
      <c r="L8" s="11"/>
    </row>
    <row r="9" spans="1:18" ht="15.75">
      <c r="B9" s="45"/>
      <c r="G9" s="6">
        <v>45159</v>
      </c>
      <c r="H9" s="6">
        <f>G9+I9-3</f>
        <v>45170</v>
      </c>
      <c r="I9" s="7">
        <v>14</v>
      </c>
      <c r="J9" s="3" t="str">
        <f>"Scoping Meeting "</f>
        <v xml:space="preserve">Scoping Meeting </v>
      </c>
      <c r="K9" s="7">
        <v>-25</v>
      </c>
      <c r="L9" s="7">
        <f>K9</f>
        <v>-25</v>
      </c>
    </row>
    <row r="10" spans="1:18" ht="21">
      <c r="B10" s="2" t="s">
        <v>33</v>
      </c>
      <c r="C10" s="2"/>
      <c r="D10" s="2"/>
      <c r="G10" s="6">
        <f>H9+3</f>
        <v>45173</v>
      </c>
      <c r="H10" s="6">
        <f>G10+I10-0</f>
        <v>45191</v>
      </c>
      <c r="I10" s="7">
        <v>18</v>
      </c>
      <c r="J10" s="3" t="str">
        <f>"Preparation Phase "</f>
        <v xml:space="preserve">Preparation Phase </v>
      </c>
      <c r="K10" s="7">
        <f>K9-15</f>
        <v>-40</v>
      </c>
      <c r="L10" s="7">
        <f>K10-K9</f>
        <v>-15</v>
      </c>
    </row>
    <row r="11" spans="1:18" ht="18.75">
      <c r="B11" s="1" t="s">
        <v>26</v>
      </c>
      <c r="C11" s="1" t="s">
        <v>27</v>
      </c>
      <c r="D11" s="1" t="s">
        <v>28</v>
      </c>
      <c r="E11" s="1" t="s">
        <v>29</v>
      </c>
      <c r="G11" s="6">
        <f>H10+3</f>
        <v>45194</v>
      </c>
      <c r="H11" s="6">
        <f>G11+I11-2</f>
        <v>45212</v>
      </c>
      <c r="I11" s="7">
        <v>20</v>
      </c>
      <c r="J11" s="3" t="str">
        <f>"Design Phase "</f>
        <v xml:space="preserve">Design Phase </v>
      </c>
      <c r="K11" s="7">
        <f>K10-15</f>
        <v>-55</v>
      </c>
      <c r="L11" s="7">
        <f>K11-K10</f>
        <v>-15</v>
      </c>
    </row>
    <row r="12" spans="1:18">
      <c r="B12" s="10"/>
      <c r="C12" s="10"/>
      <c r="D12" s="11"/>
      <c r="E12" s="12"/>
      <c r="G12" s="6">
        <f>H11+3</f>
        <v>45215</v>
      </c>
      <c r="H12" s="6">
        <f>G12+I12-0</f>
        <v>45233</v>
      </c>
      <c r="I12" s="7">
        <v>18</v>
      </c>
      <c r="J12" s="3" t="str">
        <f>"Build Phase "</f>
        <v xml:space="preserve">Build Phase </v>
      </c>
      <c r="K12" s="7">
        <v>-80</v>
      </c>
      <c r="L12" s="7">
        <f>K12</f>
        <v>-80</v>
      </c>
    </row>
    <row r="13" spans="1:18">
      <c r="B13" s="6">
        <v>45159</v>
      </c>
      <c r="C13" s="6">
        <f>B13+D13-3</f>
        <v>45170</v>
      </c>
      <c r="D13" s="7">
        <v>14</v>
      </c>
      <c r="E13" s="3" t="str">
        <f>"Scoping Meeting "</f>
        <v xml:space="preserve">Scoping Meeting </v>
      </c>
      <c r="G13" s="6">
        <v>45222</v>
      </c>
      <c r="H13" s="6">
        <f>G13+I13-3</f>
        <v>45233</v>
      </c>
      <c r="I13" s="7">
        <v>14</v>
      </c>
      <c r="J13" s="3" t="str">
        <f>"Unit Tests &amp; Integrations Tests "</f>
        <v xml:space="preserve">Unit Tests &amp; Integrations Tests </v>
      </c>
      <c r="K13" s="7">
        <v>-30</v>
      </c>
      <c r="L13" s="7">
        <f>K13</f>
        <v>-30</v>
      </c>
    </row>
    <row r="14" spans="1:18">
      <c r="B14" s="6">
        <f>C13+3</f>
        <v>45173</v>
      </c>
      <c r="C14" s="6">
        <f>B14+D14-0</f>
        <v>45191</v>
      </c>
      <c r="D14" s="7">
        <v>18</v>
      </c>
      <c r="E14" s="3" t="str">
        <f>"Preparation Phase "</f>
        <v xml:space="preserve">Preparation Phase </v>
      </c>
      <c r="G14" s="6">
        <f>H13+3</f>
        <v>45236</v>
      </c>
      <c r="H14" s="6">
        <f>G14+I14-3</f>
        <v>45240</v>
      </c>
      <c r="I14" s="7">
        <v>7</v>
      </c>
      <c r="J14" s="3" t="str">
        <f>"Users Acceptance Tests "</f>
        <v xml:space="preserve">Users Acceptance Tests </v>
      </c>
      <c r="K14" s="7">
        <f>K13-15</f>
        <v>-45</v>
      </c>
      <c r="L14" s="7">
        <f>K14-K13</f>
        <v>-15</v>
      </c>
    </row>
    <row r="15" spans="1:18">
      <c r="B15" s="6">
        <f>C14+3</f>
        <v>45194</v>
      </c>
      <c r="C15" s="6">
        <f>B15+D15-2</f>
        <v>45212</v>
      </c>
      <c r="D15" s="7">
        <v>20</v>
      </c>
      <c r="E15" s="3" t="str">
        <f>"Design Phase "</f>
        <v xml:space="preserve">Design Phase </v>
      </c>
      <c r="G15" s="6">
        <f>H13+3</f>
        <v>45236</v>
      </c>
      <c r="H15" s="6">
        <f>G15+I15-3</f>
        <v>45240</v>
      </c>
      <c r="I15" s="7">
        <v>7</v>
      </c>
      <c r="J15" s="3" t="str">
        <f>"Training "</f>
        <v xml:space="preserve">Training </v>
      </c>
      <c r="K15" s="7">
        <v>-20</v>
      </c>
      <c r="L15" s="7">
        <f>K15</f>
        <v>-20</v>
      </c>
    </row>
    <row r="16" spans="1:18">
      <c r="B16" s="6">
        <f>C15+3</f>
        <v>45215</v>
      </c>
      <c r="C16" s="6">
        <f>B16+D16-0</f>
        <v>45233</v>
      </c>
      <c r="D16" s="7">
        <v>18</v>
      </c>
      <c r="E16" s="3" t="str">
        <f>"Build Phase "</f>
        <v xml:space="preserve">Build Phase </v>
      </c>
      <c r="G16" s="6">
        <f>H13+3</f>
        <v>45236</v>
      </c>
      <c r="H16" s="6">
        <f>G16+I16-3</f>
        <v>45240</v>
      </c>
      <c r="I16" s="7">
        <v>7</v>
      </c>
      <c r="J16" s="3" t="str">
        <f>"Data Migration "</f>
        <v xml:space="preserve">Data Migration </v>
      </c>
      <c r="K16" s="7">
        <v>-60</v>
      </c>
      <c r="L16" s="7">
        <f>K16-K15</f>
        <v>-40</v>
      </c>
    </row>
    <row r="17" spans="2:12">
      <c r="B17" s="6">
        <v>45222</v>
      </c>
      <c r="C17" s="6">
        <f>B17+D17-3</f>
        <v>45233</v>
      </c>
      <c r="D17" s="7">
        <v>14</v>
      </c>
      <c r="E17" s="3" t="str">
        <f>"Unit Tests &amp; Integrations Tests "</f>
        <v xml:space="preserve">Unit Tests &amp; Integrations Tests </v>
      </c>
      <c r="G17" s="6">
        <f>H16+3</f>
        <v>45243</v>
      </c>
      <c r="H17" s="6">
        <f>G17+I17-3</f>
        <v>45254</v>
      </c>
      <c r="I17" s="7">
        <v>14</v>
      </c>
      <c r="J17" s="3" t="str">
        <f>"RVS "</f>
        <v xml:space="preserve">RVS </v>
      </c>
      <c r="K17" s="7">
        <f>K16-15</f>
        <v>-75</v>
      </c>
      <c r="L17" s="7">
        <f>K17-K16</f>
        <v>-15</v>
      </c>
    </row>
    <row r="18" spans="2:12">
      <c r="B18" s="6">
        <f>C17+3</f>
        <v>45236</v>
      </c>
      <c r="C18" s="6">
        <f>B18+D18-3</f>
        <v>45240</v>
      </c>
      <c r="D18" s="7">
        <v>7</v>
      </c>
      <c r="E18" s="3" t="str">
        <f>"Users Acceptance Tests "</f>
        <v xml:space="preserve">Users Acceptance Tests </v>
      </c>
      <c r="G18" s="4"/>
      <c r="H18" s="4"/>
      <c r="I18" s="5"/>
      <c r="J18" s="9" t="s">
        <v>34</v>
      </c>
      <c r="K18" s="5"/>
      <c r="L18" s="5"/>
    </row>
    <row r="19" spans="2:12">
      <c r="B19" s="6">
        <f>C17+3</f>
        <v>45236</v>
      </c>
      <c r="C19" s="6">
        <f>B19+D19-3</f>
        <v>45240</v>
      </c>
      <c r="D19" s="7">
        <v>7</v>
      </c>
      <c r="E19" s="3" t="str">
        <f>"Training "</f>
        <v xml:space="preserve">Training </v>
      </c>
    </row>
    <row r="20" spans="2:12" ht="21">
      <c r="B20" s="6">
        <f>C17+3</f>
        <v>45236</v>
      </c>
      <c r="C20" s="6">
        <f>B20+D20-3</f>
        <v>45240</v>
      </c>
      <c r="D20" s="7">
        <v>7</v>
      </c>
      <c r="E20" s="3" t="str">
        <f>"Data Migration "</f>
        <v xml:space="preserve">Data Migration </v>
      </c>
      <c r="G20" s="2" t="s">
        <v>35</v>
      </c>
      <c r="H20" s="14"/>
      <c r="I20" s="2"/>
    </row>
    <row r="21" spans="2:12" ht="18.75">
      <c r="B21" s="6">
        <f>C20+3</f>
        <v>45243</v>
      </c>
      <c r="C21" s="6">
        <f>B21+D21-3</f>
        <v>45254</v>
      </c>
      <c r="D21" s="7">
        <v>14</v>
      </c>
      <c r="E21" s="3" t="str">
        <f>"RVS "</f>
        <v xml:space="preserve">RVS </v>
      </c>
      <c r="G21" s="1" t="s">
        <v>36</v>
      </c>
      <c r="H21" s="1"/>
      <c r="I21" s="1"/>
      <c r="J21" s="1" t="s">
        <v>35</v>
      </c>
      <c r="K21" s="1" t="s">
        <v>37</v>
      </c>
    </row>
    <row r="22" spans="2:12">
      <c r="B22" s="4"/>
      <c r="C22" s="4"/>
      <c r="D22" s="5"/>
      <c r="E22" s="9" t="s">
        <v>34</v>
      </c>
      <c r="G22" s="10"/>
      <c r="H22" s="10"/>
      <c r="I22" s="11"/>
      <c r="J22" s="12"/>
      <c r="K22" s="11"/>
      <c r="L22" s="13"/>
    </row>
    <row r="23" spans="2:12">
      <c r="G23" s="54">
        <v>45159</v>
      </c>
      <c r="H23" s="54"/>
      <c r="I23" s="55"/>
      <c r="J23" s="56" t="str">
        <f>" START "</f>
        <v xml:space="preserve"> START </v>
      </c>
      <c r="K23" s="7">
        <v>30</v>
      </c>
    </row>
    <row r="24" spans="2:12" ht="21">
      <c r="B24" s="2" t="s">
        <v>35</v>
      </c>
      <c r="C24" s="14"/>
      <c r="D24" s="2"/>
      <c r="G24" s="6">
        <v>45181</v>
      </c>
      <c r="H24" s="6"/>
      <c r="I24" s="7"/>
      <c r="J24" s="8" t="str">
        <f>" Pre-Copil "</f>
        <v xml:space="preserve"> Pre-Copil </v>
      </c>
      <c r="K24" s="7">
        <v>10</v>
      </c>
    </row>
    <row r="25" spans="2:12" ht="18.75">
      <c r="B25" s="1" t="s">
        <v>36</v>
      </c>
      <c r="C25" s="1"/>
      <c r="D25" s="1"/>
      <c r="E25" s="1" t="s">
        <v>35</v>
      </c>
      <c r="G25" s="6">
        <v>45189</v>
      </c>
      <c r="H25" s="6"/>
      <c r="I25" s="7"/>
      <c r="J25" s="8" t="str">
        <f>" Copil "</f>
        <v xml:space="preserve"> Copil </v>
      </c>
      <c r="K25" s="7">
        <v>15</v>
      </c>
    </row>
    <row r="26" spans="2:12">
      <c r="B26" s="10"/>
      <c r="C26" s="10"/>
      <c r="D26" s="11"/>
      <c r="E26" s="12"/>
      <c r="G26" s="6">
        <v>45198</v>
      </c>
      <c r="H26" s="6"/>
      <c r="I26" s="7"/>
      <c r="J26" s="8" t="str">
        <f>" Codir "</f>
        <v xml:space="preserve"> Codir </v>
      </c>
      <c r="K26" s="7">
        <v>10</v>
      </c>
    </row>
    <row r="27" spans="2:12">
      <c r="B27" s="6">
        <v>45159</v>
      </c>
      <c r="C27" s="6"/>
      <c r="D27" s="7"/>
      <c r="E27" s="8" t="str">
        <f>" START "</f>
        <v xml:space="preserve"> START </v>
      </c>
      <c r="G27" s="54">
        <v>45198</v>
      </c>
      <c r="H27" s="54"/>
      <c r="I27" s="55"/>
      <c r="J27" s="56" t="str">
        <f>" KICK OFF 29/09/2023 "</f>
        <v xml:space="preserve"> KICK OFF 29/09/2023 </v>
      </c>
      <c r="K27" s="7">
        <v>30</v>
      </c>
    </row>
    <row r="28" spans="2:12">
      <c r="B28" s="6">
        <v>45181</v>
      </c>
      <c r="C28" s="6"/>
      <c r="D28" s="7"/>
      <c r="E28" s="8" t="str">
        <f>" Copil "</f>
        <v xml:space="preserve"> Copil </v>
      </c>
      <c r="G28" s="6">
        <v>45210</v>
      </c>
      <c r="H28" s="6"/>
      <c r="I28" s="7"/>
      <c r="J28" s="8" t="str">
        <f>" Pre-Copil "</f>
        <v xml:space="preserve"> Pre-Copil </v>
      </c>
      <c r="K28" s="7">
        <v>20</v>
      </c>
    </row>
    <row r="29" spans="2:12">
      <c r="B29" s="6">
        <v>45189</v>
      </c>
      <c r="C29" s="6"/>
      <c r="D29" s="7"/>
      <c r="E29" s="8" t="str">
        <f>" Copil "</f>
        <v xml:space="preserve"> Copil </v>
      </c>
      <c r="G29" s="6">
        <v>45219</v>
      </c>
      <c r="H29" s="6"/>
      <c r="I29" s="7"/>
      <c r="J29" s="8" t="s">
        <v>38</v>
      </c>
      <c r="K29" s="7">
        <v>25</v>
      </c>
    </row>
    <row r="30" spans="2:12">
      <c r="B30" s="6">
        <v>45198</v>
      </c>
      <c r="C30" s="6"/>
      <c r="D30" s="7"/>
      <c r="E30" s="8" t="str">
        <f>" Codir "</f>
        <v xml:space="preserve"> Codir </v>
      </c>
      <c r="G30" s="6">
        <v>45251</v>
      </c>
      <c r="H30" s="6"/>
      <c r="I30" s="7"/>
      <c r="J30" s="8" t="str">
        <f>" Forecast-Copil "</f>
        <v xml:space="preserve"> Forecast-Copil </v>
      </c>
      <c r="K30" s="7">
        <v>10</v>
      </c>
    </row>
    <row r="31" spans="2:12">
      <c r="B31" s="6">
        <v>45198</v>
      </c>
      <c r="C31" s="6"/>
      <c r="D31" s="7"/>
      <c r="E31" s="8" t="str">
        <f>" KICK OFF 29/09/2023 "</f>
        <v xml:space="preserve"> KICK OFF 29/09/2023 </v>
      </c>
      <c r="G31" s="54">
        <v>45252</v>
      </c>
      <c r="H31" s="54"/>
      <c r="I31" s="55"/>
      <c r="J31" s="56" t="str">
        <f>" GO LIVE 22/11/2023"</f>
        <v xml:space="preserve"> GO LIVE 22/11/2023</v>
      </c>
      <c r="K31" s="7">
        <v>30</v>
      </c>
    </row>
    <row r="32" spans="2:12">
      <c r="B32" s="6">
        <v>45210</v>
      </c>
      <c r="C32" s="6"/>
      <c r="D32" s="7"/>
      <c r="E32" s="8" t="str">
        <f>" Pre-Copil "</f>
        <v xml:space="preserve"> Pre-Copil </v>
      </c>
      <c r="G32" s="4"/>
      <c r="H32" s="4"/>
      <c r="I32" s="5"/>
      <c r="J32" s="9" t="s">
        <v>34</v>
      </c>
      <c r="K32" s="5"/>
    </row>
    <row r="33" spans="1:18">
      <c r="B33" s="6">
        <v>45219</v>
      </c>
      <c r="C33" s="6"/>
      <c r="D33" s="7"/>
      <c r="E33" s="8" t="str">
        <f>" Forecast-Copil "</f>
        <v xml:space="preserve"> Forecast-Copil </v>
      </c>
    </row>
    <row r="34" spans="1:18">
      <c r="B34" s="6">
        <v>45251</v>
      </c>
      <c r="C34" s="6"/>
      <c r="D34" s="7"/>
      <c r="E34" s="8" t="str">
        <f>" Forecast-Copil "</f>
        <v xml:space="preserve"> Forecast-Copil </v>
      </c>
    </row>
    <row r="35" spans="1:18">
      <c r="B35" s="6">
        <v>45252</v>
      </c>
      <c r="C35" s="6"/>
      <c r="D35" s="7"/>
      <c r="E35" s="8" t="str">
        <f>" GO LIVE 22/11/2023"</f>
        <v xml:space="preserve"> GO LIVE 22/11/2023</v>
      </c>
    </row>
    <row r="36" spans="1:18" ht="21.75" customHeight="1">
      <c r="B36" s="15"/>
      <c r="C36" s="15"/>
      <c r="D36" s="16"/>
      <c r="E36" s="17" t="s">
        <v>34</v>
      </c>
    </row>
    <row r="37" spans="1:18" s="13" customFormat="1">
      <c r="A37"/>
      <c r="B37" s="18"/>
      <c r="C37" s="18"/>
      <c r="D37" s="19"/>
      <c r="E37" s="20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ht="18" customHeight="1">
      <c r="B38" s="18"/>
      <c r="C38" s="18"/>
      <c r="D38" s="19"/>
      <c r="E38" s="20"/>
    </row>
    <row r="39" spans="1:18" ht="18" customHeight="1">
      <c r="B39" s="18"/>
      <c r="C39" s="18"/>
      <c r="D39" s="19"/>
      <c r="E39" s="20"/>
    </row>
    <row r="40" spans="1:18" ht="18" customHeight="1">
      <c r="B40" s="18"/>
      <c r="C40" s="18"/>
      <c r="D40" s="19"/>
      <c r="E40" s="20"/>
    </row>
    <row r="41" spans="1:18" ht="18" customHeight="1"/>
    <row r="42" spans="1:18" ht="18" customHeight="1">
      <c r="A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</row>
    <row r="43" spans="1:18" ht="18" customHeight="1"/>
    <row r="44" spans="1:18" ht="18" customHeight="1"/>
    <row r="45" spans="1:18" ht="18" customHeight="1"/>
    <row r="46" spans="1:18" ht="18" customHeight="1"/>
    <row r="51" spans="1:18" s="13" customFormat="1">
      <c r="A51"/>
      <c r="H51"/>
      <c r="I51"/>
      <c r="J51"/>
      <c r="K51"/>
      <c r="L51"/>
      <c r="M51"/>
      <c r="N51"/>
      <c r="O51"/>
      <c r="P51"/>
      <c r="Q51"/>
      <c r="R51"/>
    </row>
    <row r="52" spans="1:18" ht="18" customHeight="1"/>
    <row r="53" spans="1:18" ht="18" customHeight="1"/>
    <row r="54" spans="1:18" ht="18" customHeight="1"/>
    <row r="55" spans="1:18" ht="18" customHeight="1"/>
    <row r="56" spans="1:18" ht="18" customHeight="1">
      <c r="A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</row>
    <row r="57" spans="1:18" ht="18" customHeight="1"/>
    <row r="58" spans="1:18" ht="18" customHeight="1"/>
    <row r="59" spans="1:18" ht="18" customHeight="1"/>
    <row r="60" spans="1:18" ht="18" customHeight="1"/>
  </sheetData>
  <pageMargins left="0.7" right="0.7" top="0.75" bottom="0.75" header="0.3" footer="0.3"/>
  <pageSetup paperSize="9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5e559808-d930-4970-91a1-bd6f234f8931" xsi:nil="true"/>
    <Typededocument xmlns="5e559808-d930-4970-91a1-bd6f234f8931" xsi:nil="true"/>
    <SharedWithUsers xmlns="e8aab117-5955-4390-81ce-465e4528e65f">
      <UserInfo>
        <DisplayName/>
        <AccountId xsi:nil="true"/>
        <AccountType/>
      </UserInfo>
    </SharedWithUsers>
    <lcf76f155ced4ddcb4097134ff3c332f xmlns="5e559808-d930-4970-91a1-bd6f234f8931">
      <Terms xmlns="http://schemas.microsoft.com/office/infopath/2007/PartnerControls"/>
    </lcf76f155ced4ddcb4097134ff3c332f>
    <TaxCatchAll xmlns="e8aab117-5955-4390-81ce-465e4528e65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AE86B12B2892468B4E66F9F0873F45" ma:contentTypeVersion="15" ma:contentTypeDescription="Create a new document." ma:contentTypeScope="" ma:versionID="ff8b3f593a3b18c614f55e7798a0c7b7">
  <xsd:schema xmlns:xsd="http://www.w3.org/2001/XMLSchema" xmlns:xs="http://www.w3.org/2001/XMLSchema" xmlns:p="http://schemas.microsoft.com/office/2006/metadata/properties" xmlns:ns2="5e559808-d930-4970-91a1-bd6f234f8931" xmlns:ns3="e8aab117-5955-4390-81ce-465e4528e65f" targetNamespace="http://schemas.microsoft.com/office/2006/metadata/properties" ma:root="true" ma:fieldsID="edc24b2e0e41619a1ca2dcefd59f18a2" ns2:_="" ns3:_="">
    <xsd:import namespace="5e559808-d930-4970-91a1-bd6f234f8931"/>
    <xsd:import namespace="e8aab117-5955-4390-81ce-465e4528e6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Typededocument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559808-d930-4970-91a1-bd6f234f89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1ffef63-4b63-4086-abdd-edc9d15470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Typededocument" ma:index="21" nillable="true" ma:displayName="Type de document" ma:format="Dropdown" ma:internalName="Typededocument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aab117-5955-4390-81ce-465e4528e65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d325a2c-4f9d-485a-8b53-02385c9b2f22}" ma:internalName="TaxCatchAll" ma:showField="CatchAllData" ma:web="e8aab117-5955-4390-81ce-465e4528e6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CC06B7-04E8-4FD0-8417-4BCF0B006A3D}"/>
</file>

<file path=customXml/itemProps2.xml><?xml version="1.0" encoding="utf-8"?>
<ds:datastoreItem xmlns:ds="http://schemas.openxmlformats.org/officeDocument/2006/customXml" ds:itemID="{5C3757C3-8E89-45DA-85D5-6F426F620371}"/>
</file>

<file path=customXml/itemProps3.xml><?xml version="1.0" encoding="utf-8"?>
<ds:datastoreItem xmlns:ds="http://schemas.openxmlformats.org/officeDocument/2006/customXml" ds:itemID="{D2907DFD-F100-44D9-9890-2D007B025B79}"/>
</file>

<file path=docProps/app.xml><?xml version="1.0" encoding="utf-8"?>
<Properties xmlns="http://schemas.openxmlformats.org/officeDocument/2006/extended-properties" xmlns:vt="http://schemas.openxmlformats.org/officeDocument/2006/docPropsVTypes">
  <Template>TM16410085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Etienne BERNOULI [EKVY]</cp:lastModifiedBy>
  <cp:revision/>
  <dcterms:created xsi:type="dcterms:W3CDTF">2023-09-23T15:52:40Z</dcterms:created>
  <dcterms:modified xsi:type="dcterms:W3CDTF">2023-12-05T11:26:38Z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0x01010051AE86B12B2892468B4E66F9F0873F45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_activity">
    <vt:lpwstr>{"FileActivityType":"9","FileActivityTimeStamp":"2023-09-23T19:34:59.907Z","FileActivityUsersOnPage":[{"DisplayName":"Samira MHAMSA [EKVY]","Id":"samira.mhamsa@ekovya.com"}],"FileActivityNavigationId":null}</vt:lpwstr>
  </property>
  <property fmtid="{D5CDD505-2E9C-101B-9397-08002B2CF9AE}" pid="9" name="TriggerFlowInfo">
    <vt:lpwstr/>
  </property>
</Properties>
</file>