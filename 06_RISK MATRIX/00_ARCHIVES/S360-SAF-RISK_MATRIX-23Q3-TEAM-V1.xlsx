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921"/>
  <workbookPr defaultThemeVersion="166925"/>
  <xr:revisionPtr revIDLastSave="28" documentId="11_10353087DE1574FFBDA16B5C3C3FF41252416EA4" xr6:coauthVersionLast="47" xr6:coauthVersionMax="47" xr10:uidLastSave="{1D8D766F-DD52-487F-8D8A-4F27EDE23DDD}"/>
  <bookViews>
    <workbookView xWindow="240" yWindow="105" windowWidth="14805" windowHeight="8010" xr2:uid="{00000000-000D-0000-FFFF-FFFF00000000}"/>
  </bookViews>
  <sheets>
    <sheet name="Risk Matrix"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2" i="1" l="1"/>
  <c r="H61" i="1"/>
  <c r="G60" i="1"/>
  <c r="H60" i="1" s="1"/>
  <c r="H59" i="1"/>
  <c r="H58" i="1"/>
  <c r="H57" i="1"/>
  <c r="G56" i="1"/>
  <c r="H56" i="1" s="1"/>
  <c r="G55" i="1"/>
  <c r="H55" i="1" s="1"/>
  <c r="G54" i="1"/>
  <c r="H54" i="1" s="1"/>
  <c r="H53" i="1"/>
  <c r="G52" i="1"/>
  <c r="H52" i="1" s="1"/>
  <c r="G51" i="1"/>
  <c r="H51" i="1" s="1"/>
  <c r="H50" i="1"/>
  <c r="H49" i="1"/>
  <c r="H48" i="1"/>
  <c r="H47" i="1"/>
  <c r="H46" i="1"/>
  <c r="H45" i="1"/>
  <c r="H44" i="1"/>
  <c r="H43" i="1"/>
  <c r="H42" i="1"/>
  <c r="H41" i="1"/>
</calcChain>
</file>

<file path=xl/sharedStrings.xml><?xml version="1.0" encoding="utf-8"?>
<sst xmlns="http://schemas.openxmlformats.org/spreadsheetml/2006/main" count="210" uniqueCount="162">
  <si>
    <t>SIGMA 360 PROJECT</t>
  </si>
  <si>
    <t>Responsible of Document: Atif SATIF</t>
  </si>
  <si>
    <t>Author:  Atif SATIF, Elisa FAUCI 06/09/2023 </t>
  </si>
  <si>
    <t>Validation:  </t>
  </si>
  <si>
    <t>Last update: Atif SATIF, 27/09/2023</t>
  </si>
  <si>
    <t>Proofread: Elisa FAUCI</t>
  </si>
  <si>
    <t>Probability: the risk apparition frequency.</t>
  </si>
  <si>
    <t>P</t>
  </si>
  <si>
    <t>Probability</t>
  </si>
  <si>
    <t xml:space="preserve">Definition </t>
  </si>
  <si>
    <t>Very rare</t>
  </si>
  <si>
    <t>1 every 5 years</t>
  </si>
  <si>
    <t xml:space="preserve">Rare </t>
  </si>
  <si>
    <t>1 every year</t>
  </si>
  <si>
    <t>Uncommon</t>
  </si>
  <si>
    <t>1 every 3 months</t>
  </si>
  <si>
    <t>Frequent</t>
  </si>
  <si>
    <t>1 every weeks</t>
  </si>
  <si>
    <t xml:space="preserve">Gravity: measuring the effects on incident's targets (more or less important consequences). </t>
  </si>
  <si>
    <t>G</t>
  </si>
  <si>
    <t>Gravity</t>
  </si>
  <si>
    <t>Minor</t>
  </si>
  <si>
    <t>Limited consequences</t>
  </si>
  <si>
    <t>Significative</t>
  </si>
  <si>
    <t>Visible damages</t>
  </si>
  <si>
    <t>Major</t>
  </si>
  <si>
    <t>Important damages</t>
  </si>
  <si>
    <t>Critical</t>
  </si>
  <si>
    <t>Irreversible damages</t>
  </si>
  <si>
    <t>Criticality : Impact of gravity and frequency on the project</t>
  </si>
  <si>
    <t>C</t>
  </si>
  <si>
    <t>Criticality</t>
  </si>
  <si>
    <t>Weak</t>
  </si>
  <si>
    <t>Moderate</t>
  </si>
  <si>
    <t>High</t>
  </si>
  <si>
    <t>Extreme</t>
  </si>
  <si>
    <t>Calculation of criticality</t>
  </si>
  <si>
    <t>Probability x Gravity  = Criticality</t>
  </si>
  <si>
    <t>1 =&gt; 4</t>
  </si>
  <si>
    <t>5 =&gt; 8</t>
  </si>
  <si>
    <t>9 =&gt; 12</t>
  </si>
  <si>
    <t>13 =&gt; 16</t>
  </si>
  <si>
    <t>ID</t>
  </si>
  <si>
    <t>Type of risk</t>
  </si>
  <si>
    <t>Description</t>
  </si>
  <si>
    <t>Origin of risk</t>
  </si>
  <si>
    <t>Risk consequences</t>
  </si>
  <si>
    <t>Challenges</t>
  </si>
  <si>
    <t>Risk mitigation</t>
  </si>
  <si>
    <t>R1</t>
  </si>
  <si>
    <t>Communication</t>
  </si>
  <si>
    <t>Neglect of external projects, lack of communication between different departments. No effective communication : the usability and timeliness of information that is either created or summarized by an application system.is the risk associated with not getting "the right data/information to the right person/process/system at the right time to allow the right action to be taken."</t>
  </si>
  <si>
    <t xml:space="preserve">Non-effective communication with relative stakeholders within the organizations we work with.    </t>
  </si>
  <si>
    <t xml:space="preserve">Lack of consistency between projects within the same organization. Collusions between projects. Confusion in messages to stakeholders.  </t>
  </si>
  <si>
    <t>External</t>
  </si>
  <si>
    <t xml:space="preserve">Be aware of other ongoing projects, communicate the guidelines of our project to other project's managers and make every relevant person pay attention to the stakes of our project, and ourselves aware of other relevant projects. </t>
  </si>
  <si>
    <t>R2</t>
  </si>
  <si>
    <t>Financial</t>
  </si>
  <si>
    <t xml:space="preserve">Dwindling cash (Reduction in available cash). </t>
  </si>
  <si>
    <r>
      <rPr>
        <b/>
        <sz val="11"/>
        <color rgb="FF000000"/>
        <rFont val="Calibri"/>
        <scheme val="minor"/>
      </rPr>
      <t xml:space="preserve">Inadequate budgeting: </t>
    </r>
    <r>
      <rPr>
        <sz val="11"/>
        <color rgb="FF000000"/>
        <rFont val="Calibri"/>
        <scheme val="minor"/>
      </rPr>
      <t xml:space="preserve">If the implementation is not properly budgeted, it can lead to dwindling cash. This can happen if the costs of the implementation are underestimated or if there are unexpected expenses.
</t>
    </r>
    <r>
      <rPr>
        <b/>
        <sz val="11"/>
        <color rgb="FF000000"/>
        <rFont val="Calibri"/>
        <scheme val="minor"/>
      </rPr>
      <t>Changes in the scope of the project</t>
    </r>
    <r>
      <rPr>
        <sz val="11"/>
        <color rgb="FF000000"/>
        <rFont val="Calibri"/>
        <scheme val="minor"/>
      </rPr>
      <t xml:space="preserve">: If the scope of the project changes, it can lead to dwindling cash. This can happen if the project is expanded or if there are unforeseen challenges that need to be addressed.
</t>
    </r>
    <r>
      <rPr>
        <b/>
        <sz val="11"/>
        <color rgb="FF000000"/>
        <rFont val="Calibri"/>
        <scheme val="minor"/>
      </rPr>
      <t>Delays in the implementation</t>
    </r>
    <r>
      <rPr>
        <sz val="11"/>
        <color rgb="FF000000"/>
        <rFont val="Calibri"/>
        <scheme val="minor"/>
      </rPr>
      <t xml:space="preserve">: If the implementation is delayed, it can lead to dwindling cash. This can happen if there are problems with the vendor, if there are </t>
    </r>
    <r>
      <rPr>
        <b/>
        <sz val="11"/>
        <color rgb="FF000000"/>
        <rFont val="Calibri"/>
        <scheme val="minor"/>
      </rPr>
      <t>changes in the requirements</t>
    </r>
    <r>
      <rPr>
        <sz val="11"/>
        <color rgb="FF000000"/>
        <rFont val="Calibri"/>
        <scheme val="minor"/>
      </rPr>
      <t>, or if there are other unforeseen challenges.
Increased costs: There are other factors that can lead to dwindling cash, such as increased costs for training, support, or maintenance.</t>
    </r>
  </si>
  <si>
    <r>
      <rPr>
        <b/>
        <sz val="11"/>
        <color rgb="FF000000"/>
        <rFont val="Calibri"/>
        <scheme val="minor"/>
      </rPr>
      <t>Inability to complete the implementation</t>
    </r>
    <r>
      <rPr>
        <sz val="11"/>
        <color rgb="FF000000"/>
        <rFont val="Calibri"/>
        <scheme val="minor"/>
      </rPr>
      <t xml:space="preserve">: If the project runs out of cash, it may not be possible to complete the implementation. </t>
    </r>
    <r>
      <rPr>
        <b/>
        <sz val="11"/>
        <color rgb="FF000000"/>
        <rFont val="Calibri"/>
        <scheme val="minor"/>
      </rPr>
      <t>This can have a negative impact on the organization</t>
    </r>
    <r>
      <rPr>
        <sz val="11"/>
        <color rgb="FF000000"/>
        <rFont val="Calibri"/>
        <scheme val="minor"/>
      </rPr>
      <t xml:space="preserve">, as it may not be able to realize the benefits of the Salesforce solution.
Loss of momentum: If the implementation is delayed or halted, it can lose momentum. </t>
    </r>
    <r>
      <rPr>
        <b/>
        <sz val="11"/>
        <color rgb="FF000000"/>
        <rFont val="Calibri"/>
        <scheme val="minor"/>
      </rPr>
      <t>This can make it difficult to get back on track and can lead to further delays and cost overruns</t>
    </r>
    <r>
      <rPr>
        <sz val="11"/>
        <color rgb="FF000000"/>
        <rFont val="Calibri"/>
        <scheme val="minor"/>
      </rPr>
      <t xml:space="preserve">.
</t>
    </r>
    <r>
      <rPr>
        <b/>
        <sz val="11"/>
        <color rgb="FF000000"/>
        <rFont val="Calibri"/>
        <scheme val="minor"/>
      </rPr>
      <t xml:space="preserve">Damage to reputation: </t>
    </r>
    <r>
      <rPr>
        <sz val="11"/>
        <color rgb="FF000000"/>
        <rFont val="Calibri"/>
        <scheme val="minor"/>
      </rPr>
      <t xml:space="preserve">If the implementation is not successful, it can damage the organization's reputation. This can make it difficult to attract new customers or partners and can lead to lost business.
Financial hardship: If the project runs out of cash, it can put the organization in financial hardship. This can lead to layoffs, salary cuts, or even bankruptcy.
</t>
    </r>
  </si>
  <si>
    <t>Paying attention to the use of the ressources, cost controlling.</t>
  </si>
  <si>
    <t>R3</t>
  </si>
  <si>
    <t>Human</t>
  </si>
  <si>
    <t xml:space="preserve">Lack/wrong input on the timesheet.  </t>
  </si>
  <si>
    <t>Too much pressure to end specific tasks so workers will prioritize the deliverables to time recording. The manager forget about keeping the timesheet update.</t>
  </si>
  <si>
    <t>Poor cost controlling, misevaluation of the project resources availables at a given time. Risk of failure if budget reevaluation in case of a prokect's delay.</t>
  </si>
  <si>
    <t>Internal</t>
  </si>
  <si>
    <t>HR team/PMO will verify timesheets. Asking consultants to take 5mn before the end of the work day, even if it is a rush session.</t>
  </si>
  <si>
    <t>R4</t>
  </si>
  <si>
    <t xml:space="preserve">Unavailability of cross-functional stakeholders </t>
  </si>
  <si>
    <t>Poor organization, anticipation, and planification of meeting with cross-functional stakeholders. Lack of project's overview, working with heads in the sand.</t>
  </si>
  <si>
    <t>Project is delayed, sub-optimization of worker's time and resources. Waste of resources and money.</t>
  </si>
  <si>
    <t>Staying aware of stakeholders' availability, anticipating our needs for their presence and planning meetings according to their minimum booking time.</t>
  </si>
  <si>
    <t>R5</t>
  </si>
  <si>
    <t xml:space="preserve">Unevenly distributed workload </t>
  </si>
  <si>
    <r>
      <rPr>
        <b/>
        <sz val="11"/>
        <color rgb="FF000000"/>
        <rFont val="Calibri"/>
        <scheme val="minor"/>
      </rPr>
      <t>Inadequate planning:</t>
    </r>
    <r>
      <rPr>
        <sz val="11"/>
        <color rgb="FF000000"/>
        <rFont val="Calibri"/>
        <scheme val="minor"/>
      </rPr>
      <t xml:space="preserve"> If the workload is not properly planned, it can lead to uneven distribution. This can happen if the workload is not evenly divided among the users or if the users are not properly trained on how to use the system.
</t>
    </r>
    <r>
      <rPr>
        <b/>
        <sz val="11"/>
        <color rgb="FF000000"/>
        <rFont val="Calibri"/>
        <scheme val="minor"/>
      </rPr>
      <t>Unrealistic expectations:</t>
    </r>
    <r>
      <rPr>
        <sz val="11"/>
        <color rgb="FF000000"/>
        <rFont val="Calibri"/>
        <scheme val="minor"/>
      </rPr>
      <t xml:space="preserve"> If the users have unrealistic expectations about the system, it can lead to uneven distribution. This can happen if the users expect the system to do more than it is capable of doing or if they do not understand how to use the system properly.
</t>
    </r>
    <r>
      <rPr>
        <b/>
        <sz val="11"/>
        <color rgb="FF000000"/>
        <rFont val="Calibri"/>
        <scheme val="minor"/>
      </rPr>
      <t xml:space="preserve">Insufficient resources: </t>
    </r>
    <r>
      <rPr>
        <sz val="11"/>
        <color rgb="FF000000"/>
        <rFont val="Calibri"/>
        <scheme val="minor"/>
      </rPr>
      <t xml:space="preserve">If there are not enough resources available to support the workload, it can lead to uneven distribution. This can happen if there are not enough users, not enough computers, or not enough training.
</t>
    </r>
    <r>
      <rPr>
        <b/>
        <sz val="11"/>
        <color rgb="FF000000"/>
        <rFont val="Calibri"/>
        <scheme val="minor"/>
      </rPr>
      <t>Technical problems:</t>
    </r>
    <r>
      <rPr>
        <sz val="11"/>
        <color rgb="FF000000"/>
        <rFont val="Calibri"/>
        <scheme val="minor"/>
      </rPr>
      <t xml:space="preserve"> Technical problems can also lead to uneven distribution. This can happen if the system is not properly configured or if there are hardware or software problems.</t>
    </r>
  </si>
  <si>
    <t>delay project</t>
  </si>
  <si>
    <t>PMO will verify workload have been distributed evenly</t>
  </si>
  <si>
    <t>R6</t>
  </si>
  <si>
    <t xml:space="preserve">Poor division of labour according to competencies  </t>
  </si>
  <si>
    <t>Poor knowledge of the profile of team members, wrong evaluation</t>
  </si>
  <si>
    <t>Longer project progress and with potentially more errors</t>
  </si>
  <si>
    <t>PMO/Project Manager will assign the work based on the competences</t>
  </si>
  <si>
    <t>R7</t>
  </si>
  <si>
    <t xml:space="preserve">Lack of Implication of key-users on the project </t>
  </si>
  <si>
    <r>
      <rPr>
        <b/>
        <sz val="11"/>
        <color rgb="FF000000"/>
        <rFont val="Calibri"/>
        <scheme val="minor"/>
      </rPr>
      <t>Lack of communication</t>
    </r>
    <r>
      <rPr>
        <sz val="11"/>
        <color rgb="FF000000"/>
        <rFont val="Calibri"/>
        <scheme val="minor"/>
      </rPr>
      <t xml:space="preserve">: Key users may not be kept informed about the progress of the implementation or about the changes that are being made to the system.
Unrealistic expectations: Key users may have unrealistic expectations about the capabilities of the system or about the time and resources that will be required for the implementation.
</t>
    </r>
    <r>
      <rPr>
        <b/>
        <sz val="11"/>
        <color rgb="FF000000"/>
        <rFont val="Calibri"/>
        <scheme val="minor"/>
      </rPr>
      <t>Lack of trust</t>
    </r>
    <r>
      <rPr>
        <sz val="11"/>
        <color rgb="FF000000"/>
        <rFont val="Calibri"/>
        <scheme val="minor"/>
      </rPr>
      <t xml:space="preserve">: Key users may not trust the implementation team or the vendor.
Fear of change: Key users may be resistant to change and may not be willing to adopt a new system.
</t>
    </r>
    <r>
      <rPr>
        <b/>
        <sz val="11"/>
        <color rgb="FF000000"/>
        <rFont val="Calibri"/>
        <scheme val="minor"/>
      </rPr>
      <t>Lack of training</t>
    </r>
    <r>
      <rPr>
        <sz val="11"/>
        <color rgb="FF000000"/>
        <rFont val="Calibri"/>
        <scheme val="minor"/>
      </rPr>
      <t>: Key users may not be adequately trained on how to use the system.
Lack of empowerment: Key users may not feel empowered to participate in the implementation process.</t>
    </r>
  </si>
  <si>
    <r>
      <rPr>
        <b/>
        <sz val="11"/>
        <color rgb="FF000000"/>
        <rFont val="Calibri"/>
        <scheme val="minor"/>
      </rPr>
      <t>Poor adoption</t>
    </r>
    <r>
      <rPr>
        <sz val="11"/>
        <color rgb="FF000000"/>
        <rFont val="Calibri"/>
        <scheme val="minor"/>
      </rPr>
      <t xml:space="preserve">: Key users may be reluctant to adopt the new system, which can lead to low adoption rates and poor usage of the system.
Resistance to change: Key users may resist change, which can lead to delays and problems during the implementation.
</t>
    </r>
    <r>
      <rPr>
        <b/>
        <sz val="11"/>
        <color rgb="FF000000"/>
        <rFont val="Calibri"/>
        <scheme val="minor"/>
      </rPr>
      <t>Technical problems:</t>
    </r>
    <r>
      <rPr>
        <sz val="11"/>
        <color rgb="FF000000"/>
        <rFont val="Calibri"/>
        <scheme val="minor"/>
      </rPr>
      <t xml:space="preserve"> Key users may not be able to troubleshoot problems with the system, which can lead to downtime and productivity losses.
</t>
    </r>
    <r>
      <rPr>
        <b/>
        <sz val="11"/>
        <color rgb="FF000000"/>
        <rFont val="Calibri"/>
        <scheme val="minor"/>
      </rPr>
      <t>Poor user experience</t>
    </r>
    <r>
      <rPr>
        <sz val="11"/>
        <color rgb="FF000000"/>
        <rFont val="Calibri"/>
        <scheme val="minor"/>
      </rPr>
      <t xml:space="preserve">: Key users may not be happy with the user experience, which can lead to dissatisfaction and low productivity.
</t>
    </r>
    <r>
      <rPr>
        <b/>
        <sz val="11"/>
        <color rgb="FF000000"/>
        <rFont val="Calibri"/>
        <scheme val="minor"/>
      </rPr>
      <t>Failure of the implementation</t>
    </r>
    <r>
      <rPr>
        <sz val="11"/>
        <color rgb="FF000000"/>
        <rFont val="Calibri"/>
        <scheme val="minor"/>
      </rPr>
      <t>: In severe cases, the lack of implication of key-users can lead to the failure of the implementation.</t>
    </r>
  </si>
  <si>
    <t>Having good relationship with the key users</t>
  </si>
  <si>
    <t>R8</t>
  </si>
  <si>
    <t>Legal</t>
  </si>
  <si>
    <t>Non-respect of documents internal approbation procedure</t>
  </si>
  <si>
    <t>poor writing or understanding</t>
  </si>
  <si>
    <t xml:space="preserve">difficulty in identifying the document </t>
  </si>
  <si>
    <t xml:space="preserve">Authentication of documents </t>
  </si>
  <si>
    <t>R9</t>
  </si>
  <si>
    <t>Additional cost of overruns (Coût supplémentaire des dépassements)</t>
  </si>
  <si>
    <t xml:space="preserve">wrong budget forecast </t>
  </si>
  <si>
    <t>profit less than the load</t>
  </si>
  <si>
    <t>Dedicated cost controllers to check the cost of overruns</t>
  </si>
  <si>
    <t>R10</t>
  </si>
  <si>
    <t xml:space="preserve">Project hours tracking </t>
  </si>
  <si>
    <t>input error or delay</t>
  </si>
  <si>
    <t>poor project cost assessment</t>
  </si>
  <si>
    <t>HR team/PMO will verify timesheets</t>
  </si>
  <si>
    <t>R11</t>
  </si>
  <si>
    <t xml:space="preserve">Absenteism due to overwork  </t>
  </si>
  <si>
    <r>
      <t>poor segregation of duties or poor workload assessment</t>
    </r>
    <r>
      <rPr>
        <b/>
        <sz val="11"/>
        <color rgb="FF000000"/>
        <rFont val="Calibri"/>
        <scheme val="minor"/>
      </rPr>
      <t xml:space="preserve"> </t>
    </r>
  </si>
  <si>
    <t>project shutdown, delay</t>
  </si>
  <si>
    <t>PMO will verify workload and competences of consultants</t>
  </si>
  <si>
    <t>R12</t>
  </si>
  <si>
    <t>Unplanned leaves</t>
  </si>
  <si>
    <t>illness, death</t>
  </si>
  <si>
    <t>Social management, not to overload employees with work</t>
  </si>
  <si>
    <t>R13</t>
  </si>
  <si>
    <t>lack of commitment to the project among workforce</t>
  </si>
  <si>
    <t>lack of person in charge of this task</t>
  </si>
  <si>
    <t>Social management, detecting in advance the level of potential investment of people</t>
  </si>
  <si>
    <t>R14</t>
  </si>
  <si>
    <t>Adapting to the new technologies - end users : Poorly anticipated organizational changes - The arrival of CRM can impact certain roles, processes and decision-making circuits. These changes need to be anticipated and supported.</t>
  </si>
  <si>
    <t xml:space="preserve">resistance to change and whole modifications </t>
  </si>
  <si>
    <t xml:space="preserve">non-acceptance of the solution </t>
  </si>
  <si>
    <t>Efficient training to be provided to the end users on the new technologies</t>
  </si>
  <si>
    <t>R15</t>
  </si>
  <si>
    <t>Partners and subcontractors</t>
  </si>
  <si>
    <t>Delay in Material reception</t>
  </si>
  <si>
    <t xml:space="preserve">poor choice of supplier </t>
  </si>
  <si>
    <t xml:space="preserve">delay in delivery of project to customer </t>
  </si>
  <si>
    <t xml:space="preserve">Dedicated officer assigned for this task and planning in advance </t>
  </si>
  <si>
    <t>R16</t>
  </si>
  <si>
    <t>"Fait du prince "</t>
  </si>
  <si>
    <t>natural disaster</t>
  </si>
  <si>
    <t>Follow environnemental circumstances</t>
  </si>
  <si>
    <t>R17</t>
  </si>
  <si>
    <t>Unavailability of end users during UAT</t>
  </si>
  <si>
    <t>poor planning</t>
  </si>
  <si>
    <t>uat test backlog</t>
  </si>
  <si>
    <t>Having a backup plan: planning extra users</t>
  </si>
  <si>
    <t>R18</t>
  </si>
  <si>
    <t xml:space="preserve">Unavailability of key users during test  </t>
  </si>
  <si>
    <t>R19</t>
  </si>
  <si>
    <t>Inadequate training for the client</t>
  </si>
  <si>
    <t>Poor training planning
Lack of resources
Lack of user motivation</t>
  </si>
  <si>
    <t>Inefficient use of the Salesforce solution Increased support costs  A loss of confidence</t>
  </si>
  <si>
    <t>R20</t>
  </si>
  <si>
    <t>Legal / Quality</t>
  </si>
  <si>
    <t>Non respect of contract terms (delay of delivery, Quality of service, terms of payment) lead to legal issues</t>
  </si>
  <si>
    <r>
      <rPr>
        <b/>
        <sz val="11"/>
        <color rgb="FF000000"/>
        <rFont val="Calibri"/>
        <scheme val="minor"/>
      </rPr>
      <t>Delay in delivery</t>
    </r>
    <r>
      <rPr>
        <sz val="11"/>
        <color rgb="FF000000"/>
        <rFont val="Calibri"/>
        <scheme val="minor"/>
      </rPr>
      <t xml:space="preserve">: This can happen due to unforeseen circumstances, such as natural disasters or labor strikes. However, it can also be due to poor planning or lack of communication between the parties involved.
</t>
    </r>
    <r>
      <rPr>
        <b/>
        <sz val="11"/>
        <color rgb="FF000000"/>
        <rFont val="Calibri"/>
        <scheme val="minor"/>
      </rPr>
      <t>Poor quality of service</t>
    </r>
    <r>
      <rPr>
        <sz val="11"/>
        <color rgb="FF000000"/>
        <rFont val="Calibri"/>
        <scheme val="minor"/>
      </rPr>
      <t xml:space="preserve">: This can happen if the service provider does not have the necessary skills or experience, or if they do not follow the agreed-upon standards.
</t>
    </r>
    <r>
      <rPr>
        <b/>
        <sz val="11"/>
        <color rgb="FF000000"/>
        <rFont val="Calibri"/>
        <scheme val="minor"/>
      </rPr>
      <t>Non-payment</t>
    </r>
    <r>
      <rPr>
        <sz val="11"/>
        <color rgb="FF000000"/>
        <rFont val="Calibri"/>
        <scheme val="minor"/>
      </rPr>
      <t>: This can happen if the customer does not have the funds to pay, or if they are unhappy with the service they have received.</t>
    </r>
  </si>
  <si>
    <r>
      <rPr>
        <b/>
        <sz val="11"/>
        <color rgb="FF000000"/>
        <rFont val="Calibri"/>
        <scheme val="minor"/>
      </rPr>
      <t xml:space="preserve">Legal action: </t>
    </r>
    <r>
      <rPr>
        <sz val="11"/>
        <color rgb="FF000000"/>
        <rFont val="Calibri"/>
        <scheme val="minor"/>
      </rPr>
      <t xml:space="preserve">If one party breaches the contract, the other party may take legal action. This could result in damages, or even the termination of the contract.
</t>
    </r>
    <r>
      <rPr>
        <b/>
        <sz val="11"/>
        <color rgb="FF000000"/>
        <rFont val="Calibri"/>
        <scheme val="minor"/>
      </rPr>
      <t xml:space="preserve">Damage to reputation: </t>
    </r>
    <r>
      <rPr>
        <sz val="11"/>
        <color rgb="FF000000"/>
        <rFont val="Calibri"/>
        <scheme val="minor"/>
      </rPr>
      <t xml:space="preserve">A breach of contract can damage the reputation of both parties involved. This could make it difficult to get future business.
</t>
    </r>
    <r>
      <rPr>
        <b/>
        <sz val="11"/>
        <color rgb="FF000000"/>
        <rFont val="Calibri"/>
        <scheme val="minor"/>
      </rPr>
      <t xml:space="preserve">Financial loss: </t>
    </r>
    <r>
      <rPr>
        <sz val="11"/>
        <color rgb="FF000000"/>
        <rFont val="Calibri"/>
        <scheme val="minor"/>
      </rPr>
      <t xml:space="preserve">A breach of contract can lead to financial loss for both parties involved. This could include lost profits, legal fees, and other expenses.
</t>
    </r>
    <r>
      <rPr>
        <b/>
        <sz val="11"/>
        <color rgb="FF000000"/>
        <rFont val="Calibri"/>
        <scheme val="minor"/>
      </rPr>
      <t>Damage to relationships</t>
    </r>
    <r>
      <rPr>
        <sz val="11"/>
        <color rgb="FF000000"/>
        <rFont val="Calibri"/>
        <scheme val="minor"/>
      </rPr>
      <t>: A breach of contract can damage the relationships between the parties involved. This could make it difficult to work together in the future.</t>
    </r>
  </si>
  <si>
    <t>Scope meetings (sprint: regular deliverable )</t>
  </si>
  <si>
    <t>R21</t>
  </si>
  <si>
    <t>Technical and material means</t>
  </si>
  <si>
    <t>Error or failure during the update</t>
  </si>
  <si>
    <r>
      <rPr>
        <b/>
        <sz val="11"/>
        <color rgb="FF000000"/>
        <rFont val="Calibri"/>
        <scheme val="minor"/>
      </rPr>
      <t>Incompatible software:</t>
    </r>
    <r>
      <rPr>
        <sz val="11"/>
        <color rgb="FF000000"/>
        <rFont val="Calibri"/>
        <scheme val="minor"/>
      </rPr>
      <t xml:space="preserve"> If the update is not compatible with the software that is currently installed, it may fail.
</t>
    </r>
    <r>
      <rPr>
        <b/>
        <sz val="11"/>
        <color rgb="FF000000"/>
        <rFont val="Calibri"/>
        <scheme val="minor"/>
      </rPr>
      <t>Corrupted files:</t>
    </r>
    <r>
      <rPr>
        <sz val="11"/>
        <color rgb="FF000000"/>
        <rFont val="Calibri"/>
        <scheme val="minor"/>
      </rPr>
      <t xml:space="preserve"> If the update files are corrupted, they may not be able to be installed correctly.
</t>
    </r>
    <r>
      <rPr>
        <b/>
        <sz val="11"/>
        <color rgb="FF000000"/>
        <rFont val="Calibri"/>
        <scheme val="minor"/>
      </rPr>
      <t xml:space="preserve">Insufficient disk space: </t>
    </r>
    <r>
      <rPr>
        <sz val="11"/>
        <color rgb="FF000000"/>
        <rFont val="Calibri"/>
        <scheme val="minor"/>
      </rPr>
      <t xml:space="preserve">If there is not enough disk space available, the update may not be able to be installed.
</t>
    </r>
    <r>
      <rPr>
        <b/>
        <sz val="11"/>
        <color rgb="FF000000"/>
        <rFont val="Calibri"/>
        <scheme val="minor"/>
      </rPr>
      <t>Power outage:</t>
    </r>
    <r>
      <rPr>
        <sz val="11"/>
        <color rgb="FF000000"/>
        <rFont val="Calibri"/>
        <scheme val="minor"/>
      </rPr>
      <t xml:space="preserve"> If there is a power outage during the update, it may be interrupted and fail.
Human error: If the update is not installed correctly, it may fail.
</t>
    </r>
  </si>
  <si>
    <r>
      <rPr>
        <b/>
        <sz val="11"/>
        <color rgb="FF000000"/>
        <rFont val="Calibri"/>
        <scheme val="minor"/>
      </rPr>
      <t>Data loss:</t>
    </r>
    <r>
      <rPr>
        <sz val="11"/>
        <color rgb="FF000000"/>
        <rFont val="Calibri"/>
        <scheme val="minor"/>
      </rPr>
      <t xml:space="preserve"> If the update fails, it may cause data loss.
System instability: If the update fails, it may make the system unstable and cause other problems.
</t>
    </r>
    <r>
      <rPr>
        <b/>
        <sz val="11"/>
        <color rgb="FF000000"/>
        <rFont val="Calibri"/>
        <scheme val="minor"/>
      </rPr>
      <t>Security vulnerabilities</t>
    </r>
    <r>
      <rPr>
        <sz val="11"/>
        <color rgb="FF000000"/>
        <rFont val="Calibri"/>
        <scheme val="minor"/>
      </rPr>
      <t>: If the update fails, it may leave the system vulnerable to security attacks.</t>
    </r>
  </si>
  <si>
    <t>Data backup</t>
  </si>
  <si>
    <t>R22</t>
  </si>
  <si>
    <t>Quality</t>
  </si>
  <si>
    <t>Unavailability of end-users during the test phase</t>
  </si>
  <si>
    <r>
      <rPr>
        <sz val="11"/>
        <color rgb="FF000000"/>
        <rFont val="Calibri"/>
        <scheme val="minor"/>
      </rPr>
      <t xml:space="preserve">
</t>
    </r>
    <r>
      <rPr>
        <b/>
        <sz val="11"/>
        <color rgb="FF000000"/>
        <rFont val="Calibri"/>
        <scheme val="minor"/>
      </rPr>
      <t xml:space="preserve">Scheduling conflicts: </t>
    </r>
    <r>
      <rPr>
        <sz val="11"/>
        <color rgb="FF000000"/>
        <rFont val="Calibri"/>
        <scheme val="minor"/>
      </rPr>
      <t xml:space="preserve">End-users may be unavailable during the test phase due to scheduling conflicts with other work commitments.
</t>
    </r>
    <r>
      <rPr>
        <b/>
        <sz val="11"/>
        <color rgb="FF000000"/>
        <rFont val="Calibri"/>
        <scheme val="minor"/>
      </rPr>
      <t xml:space="preserve">Lack of interest: </t>
    </r>
    <r>
      <rPr>
        <sz val="11"/>
        <color rgb="FF000000"/>
        <rFont val="Calibri"/>
        <scheme val="minor"/>
      </rPr>
      <t xml:space="preserve">End-users may not be interested in participating in the test phase, either because they do not see the value in it or because they are too busy with other tasks.
</t>
    </r>
    <r>
      <rPr>
        <b/>
        <sz val="11"/>
        <color rgb="FF000000"/>
        <rFont val="Calibri"/>
        <scheme val="minor"/>
      </rPr>
      <t>Fear of change:</t>
    </r>
    <r>
      <rPr>
        <sz val="11"/>
        <color rgb="FF000000"/>
        <rFont val="Calibri"/>
        <scheme val="minor"/>
      </rPr>
      <t xml:space="preserve"> End-users may be afraid of change and may not want to participate in the test phase because they are worried about how the changes will affect their work.
</t>
    </r>
    <r>
      <rPr>
        <b/>
        <sz val="11"/>
        <color rgb="FF000000"/>
        <rFont val="Calibri"/>
        <scheme val="minor"/>
      </rPr>
      <t>Technical difficulties</t>
    </r>
    <r>
      <rPr>
        <sz val="11"/>
        <color rgb="FF000000"/>
        <rFont val="Calibri"/>
        <scheme val="minor"/>
      </rPr>
      <t>: End-users may not be able to participate in the test phase due to technical difficulties, such as not having the necessary access or equipment.</t>
    </r>
  </si>
  <si>
    <r>
      <rPr>
        <b/>
        <sz val="11"/>
        <color rgb="FF000000"/>
        <rFont val="Calibri"/>
        <scheme val="minor"/>
      </rPr>
      <t xml:space="preserve">Delayed testing: </t>
    </r>
    <r>
      <rPr>
        <sz val="11"/>
        <color rgb="FF000000"/>
        <rFont val="Calibri"/>
        <scheme val="minor"/>
      </rPr>
      <t xml:space="preserve">If end-users are unavailable, the testing phase may be delayed, which can lead to delays in the release of the product or service.
</t>
    </r>
    <r>
      <rPr>
        <b/>
        <sz val="11"/>
        <color rgb="FF000000"/>
        <rFont val="Calibri"/>
        <scheme val="minor"/>
      </rPr>
      <t xml:space="preserve">Incomplete testing: </t>
    </r>
    <r>
      <rPr>
        <sz val="11"/>
        <color rgb="FF000000"/>
        <rFont val="Calibri"/>
        <scheme val="minor"/>
      </rPr>
      <t xml:space="preserve">If end-users are not available to test all of the features or functionality of the product or service, the testing may be incomplete, which can lead to problems being discovered after the product or service is released.
</t>
    </r>
    <r>
      <rPr>
        <b/>
        <sz val="11"/>
        <color rgb="FF000000"/>
        <rFont val="Calibri"/>
        <scheme val="minor"/>
      </rPr>
      <t xml:space="preserve">Negative feedback: </t>
    </r>
    <r>
      <rPr>
        <sz val="11"/>
        <color rgb="FF000000"/>
        <rFont val="Calibri"/>
        <scheme val="minor"/>
      </rPr>
      <t>If end-users are not available to test the product or service, they may not be able to provide feedback on the usability or functionality of the product or service, which can lead to negative feedback after the product or service is released.</t>
    </r>
  </si>
  <si>
    <t>Having a backup plan: Pplanning extra users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</si>
</sst>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scheme val="minor"/>
    </font>
    <font>
      <sz val="11"/>
      <color theme="1"/>
      <name val="Calibri"/>
      <scheme val="minor"/>
    </font>
    <font>
      <b/>
      <sz val="36"/>
      <color rgb="FF273691"/>
      <name val="Calibri"/>
      <scheme val="minor"/>
    </font>
    <font>
      <b/>
      <sz val="14"/>
      <color rgb="FF000000"/>
      <name val="Calibri"/>
    </font>
    <font>
      <b/>
      <sz val="12"/>
      <color rgb="FF000000"/>
      <name val="Calibri"/>
    </font>
    <font>
      <sz val="12"/>
      <color rgb="FF000000"/>
      <name val="Calibri"/>
    </font>
    <font>
      <sz val="11"/>
      <color rgb="FF000000"/>
      <name val="Calibri"/>
    </font>
    <font>
      <b/>
      <sz val="11"/>
      <color theme="0"/>
      <name val="Calibri"/>
      <family val="2"/>
      <scheme val="minor"/>
    </font>
    <font>
      <b/>
      <sz val="11"/>
      <color theme="1"/>
      <name val="Calibri"/>
      <family val="2"/>
      <scheme val="minor"/>
    </font>
    <font>
      <sz val="11"/>
      <color rgb="FF000000"/>
      <name val="Calibri"/>
      <scheme val="minor"/>
    </font>
    <font>
      <b/>
      <sz val="11"/>
      <color rgb="FF000000"/>
      <name val="Calibri"/>
      <family val="2"/>
      <scheme val="minor"/>
    </font>
    <font>
      <sz val="11"/>
      <color rgb="FF000000"/>
      <name val="Calibri"/>
      <family val="2"/>
      <scheme val="minor"/>
    </font>
    <font>
      <b/>
      <sz val="11"/>
      <color rgb="FF000000"/>
      <name val="Calibri"/>
      <scheme val="minor"/>
    </font>
    <font>
      <b/>
      <sz val="11"/>
      <color rgb="FF000000"/>
      <name val="Calibri"/>
    </font>
  </fonts>
  <fills count="12">
    <fill>
      <patternFill patternType="none"/>
    </fill>
    <fill>
      <patternFill patternType="gray125"/>
    </fill>
    <fill>
      <patternFill patternType="solid">
        <fgColor rgb="FFC0D1F3"/>
        <bgColor rgb="FF000000"/>
      </patternFill>
    </fill>
    <fill>
      <patternFill patternType="solid">
        <fgColor rgb="FF92CDDC"/>
        <bgColor rgb="FF000000"/>
      </patternFill>
    </fill>
    <fill>
      <patternFill patternType="solid">
        <fgColor rgb="FFDAEEF3"/>
        <bgColor rgb="FF000000"/>
      </patternFill>
    </fill>
    <fill>
      <patternFill patternType="solid">
        <fgColor theme="9"/>
        <bgColor indexed="64"/>
      </patternFill>
    </fill>
    <fill>
      <patternFill patternType="solid">
        <fgColor theme="0"/>
        <bgColor indexed="64"/>
      </patternFill>
    </fill>
    <fill>
      <patternFill patternType="solid">
        <fgColor rgb="FFFFFF00"/>
        <bgColor indexed="64"/>
      </patternFill>
    </fill>
    <fill>
      <patternFill patternType="solid">
        <fgColor rgb="FFE6840E"/>
        <bgColor indexed="64"/>
      </patternFill>
    </fill>
    <fill>
      <patternFill patternType="solid">
        <fgColor rgb="FFFF0000"/>
        <bgColor indexed="64"/>
      </patternFill>
    </fill>
    <fill>
      <patternFill patternType="solid">
        <fgColor rgb="FF00B0F0"/>
        <bgColor indexed="64"/>
      </patternFill>
    </fill>
    <fill>
      <patternFill patternType="solid">
        <fgColor theme="5" tint="0.79998168889431442"/>
        <bgColor indexed="64"/>
      </patternFill>
    </fill>
  </fills>
  <borders count="22">
    <border>
      <left/>
      <right/>
      <top/>
      <bottom/>
      <diagonal/>
    </border>
    <border>
      <left style="thin">
        <color theme="2"/>
      </left>
      <right style="thin">
        <color theme="2"/>
      </right>
      <top style="thin">
        <color theme="2"/>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style="thin">
        <color rgb="FF000000"/>
      </top>
      <bottom/>
      <diagonal/>
    </border>
    <border>
      <left/>
      <right style="medium">
        <color rgb="FF000000"/>
      </right>
      <top style="thin">
        <color rgb="FF000000"/>
      </top>
      <bottom style="medium">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medium">
        <color rgb="FF000000"/>
      </left>
      <right style="medium">
        <color rgb="FF000000"/>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s>
  <cellStyleXfs count="1">
    <xf numFmtId="0" fontId="0" fillId="0" borderId="0"/>
  </cellStyleXfs>
  <cellXfs count="75">
    <xf numFmtId="0" fontId="0" fillId="0" borderId="0" xfId="0"/>
    <xf numFmtId="0" fontId="2" fillId="2" borderId="1" xfId="0" applyFont="1" applyFill="1" applyBorder="1" applyAlignment="1">
      <alignment vertical="center"/>
    </xf>
    <xf numFmtId="0" fontId="3" fillId="0" borderId="0" xfId="0" applyFont="1" applyAlignment="1">
      <alignment horizontal="center" vertical="top"/>
    </xf>
    <xf numFmtId="0" fontId="3" fillId="0" borderId="0" xfId="0" applyFont="1" applyAlignment="1">
      <alignment vertical="top"/>
    </xf>
    <xf numFmtId="0" fontId="3" fillId="0" borderId="0" xfId="0" applyFont="1"/>
    <xf numFmtId="0" fontId="3" fillId="0" borderId="0" xfId="0" applyFont="1" applyAlignment="1">
      <alignment vertical="center"/>
    </xf>
    <xf numFmtId="0" fontId="0" fillId="0" borderId="0" xfId="0" applyAlignment="1">
      <alignment vertical="center"/>
    </xf>
    <xf numFmtId="0" fontId="3" fillId="0" borderId="2" xfId="0" applyFont="1" applyBorder="1"/>
    <xf numFmtId="0" fontId="0" fillId="0" borderId="3" xfId="0" applyBorder="1"/>
    <xf numFmtId="0" fontId="0" fillId="0" borderId="4" xfId="0" applyBorder="1"/>
    <xf numFmtId="0" fontId="3" fillId="3" borderId="5" xfId="0" applyFont="1" applyFill="1" applyBorder="1" applyAlignment="1">
      <alignment horizontal="center"/>
    </xf>
    <xf numFmtId="0" fontId="3" fillId="3" borderId="5" xfId="0" applyFont="1" applyFill="1" applyBorder="1"/>
    <xf numFmtId="0" fontId="0" fillId="0" borderId="0" xfId="0" applyAlignment="1">
      <alignment horizontal="center" vertical="center"/>
    </xf>
    <xf numFmtId="0" fontId="4" fillId="0" borderId="0" xfId="0" applyFont="1"/>
    <xf numFmtId="0" fontId="5" fillId="4" borderId="6" xfId="0" applyFont="1" applyFill="1" applyBorder="1" applyAlignment="1">
      <alignment horizontal="center"/>
    </xf>
    <xf numFmtId="0" fontId="5" fillId="4" borderId="6" xfId="0" applyFont="1" applyFill="1" applyBorder="1"/>
    <xf numFmtId="0" fontId="5" fillId="0" borderId="0" xfId="0" applyFont="1"/>
    <xf numFmtId="0" fontId="6" fillId="0" borderId="0" xfId="0" applyFont="1"/>
    <xf numFmtId="0" fontId="3" fillId="3" borderId="5" xfId="0" applyFont="1" applyFill="1" applyBorder="1" applyAlignment="1">
      <alignment horizontal="center" wrapText="1"/>
    </xf>
    <xf numFmtId="0" fontId="5" fillId="4" borderId="7" xfId="0" applyFont="1" applyFill="1" applyBorder="1" applyAlignment="1">
      <alignment horizontal="center" wrapText="1"/>
    </xf>
    <xf numFmtId="0" fontId="5" fillId="4" borderId="7" xfId="0" applyFont="1" applyFill="1" applyBorder="1" applyAlignment="1">
      <alignment horizontal="center"/>
    </xf>
    <xf numFmtId="0" fontId="5" fillId="4" borderId="7" xfId="0" applyFont="1" applyFill="1" applyBorder="1"/>
    <xf numFmtId="0" fontId="5" fillId="4" borderId="6" xfId="0" applyFont="1" applyFill="1" applyBorder="1" applyAlignment="1">
      <alignment horizontal="center" wrapText="1"/>
    </xf>
    <xf numFmtId="0" fontId="0" fillId="0" borderId="0" xfId="0" applyAlignment="1">
      <alignment horizontal="center"/>
    </xf>
    <xf numFmtId="0" fontId="5" fillId="0" borderId="0" xfId="0" applyFont="1" applyAlignment="1">
      <alignment horizontal="center" wrapText="1"/>
    </xf>
    <xf numFmtId="0" fontId="5" fillId="0" borderId="0" xfId="0" applyFont="1" applyAlignment="1">
      <alignment horizontal="center"/>
    </xf>
    <xf numFmtId="0" fontId="4" fillId="3" borderId="5" xfId="0" applyFont="1" applyFill="1" applyBorder="1" applyAlignment="1">
      <alignment horizontal="center"/>
    </xf>
    <xf numFmtId="0" fontId="4" fillId="3" borderId="5" xfId="0" applyFont="1" applyFill="1" applyBorder="1"/>
    <xf numFmtId="0" fontId="5" fillId="4" borderId="6" xfId="0" applyFont="1" applyFill="1" applyBorder="1" applyAlignment="1">
      <alignment wrapText="1"/>
    </xf>
    <xf numFmtId="0" fontId="5" fillId="4" borderId="7" xfId="0" applyFont="1" applyFill="1" applyBorder="1" applyAlignment="1">
      <alignment wrapText="1"/>
    </xf>
    <xf numFmtId="0" fontId="5" fillId="0" borderId="8" xfId="0" applyFont="1" applyBorder="1" applyAlignment="1">
      <alignment horizontal="left"/>
    </xf>
    <xf numFmtId="0" fontId="5" fillId="0" borderId="9" xfId="0" applyFont="1" applyBorder="1"/>
    <xf numFmtId="0" fontId="5" fillId="0" borderId="10" xfId="0" applyFont="1" applyBorder="1" applyAlignment="1">
      <alignment horizontal="left"/>
    </xf>
    <xf numFmtId="0" fontId="5" fillId="0" borderId="11" xfId="0" applyFont="1" applyBorder="1" applyAlignment="1">
      <alignment horizontal="center"/>
    </xf>
    <xf numFmtId="0" fontId="7" fillId="5" borderId="6" xfId="0" applyFont="1" applyFill="1" applyBorder="1" applyAlignment="1">
      <alignment horizontal="center" vertical="center"/>
    </xf>
    <xf numFmtId="0" fontId="5" fillId="6" borderId="12" xfId="0" applyFont="1" applyFill="1" applyBorder="1"/>
    <xf numFmtId="0" fontId="8" fillId="7" borderId="6" xfId="0" applyFont="1" applyFill="1" applyBorder="1" applyAlignment="1">
      <alignment horizontal="center" vertical="center"/>
    </xf>
    <xf numFmtId="0" fontId="5" fillId="6" borderId="12" xfId="0" applyFont="1" applyFill="1" applyBorder="1" applyAlignment="1">
      <alignment wrapText="1"/>
    </xf>
    <xf numFmtId="0" fontId="7" fillId="8" borderId="6" xfId="0" applyFont="1" applyFill="1" applyBorder="1" applyAlignment="1">
      <alignment horizontal="center" vertical="center"/>
    </xf>
    <xf numFmtId="0" fontId="5" fillId="6" borderId="13" xfId="0" applyFont="1" applyFill="1" applyBorder="1" applyAlignment="1">
      <alignment wrapText="1"/>
    </xf>
    <xf numFmtId="0" fontId="7" fillId="9" borderId="6" xfId="0" applyFont="1" applyFill="1" applyBorder="1" applyAlignment="1">
      <alignment horizontal="center" vertical="center"/>
    </xf>
    <xf numFmtId="0" fontId="5" fillId="0" borderId="0" xfId="0" applyFont="1" applyAlignment="1">
      <alignment horizontal="left"/>
    </xf>
    <xf numFmtId="0" fontId="8" fillId="10" borderId="14" xfId="0" applyFont="1" applyFill="1" applyBorder="1"/>
    <xf numFmtId="0" fontId="8" fillId="10" borderId="15" xfId="0" applyFont="1" applyFill="1" applyBorder="1"/>
    <xf numFmtId="0" fontId="8" fillId="10" borderId="16" xfId="0" applyFont="1" applyFill="1" applyBorder="1"/>
    <xf numFmtId="0" fontId="8" fillId="10" borderId="4" xfId="0" applyFont="1" applyFill="1" applyBorder="1"/>
    <xf numFmtId="0" fontId="8" fillId="10" borderId="4" xfId="0" applyFont="1" applyFill="1" applyBorder="1" applyAlignment="1">
      <alignment horizontal="center"/>
    </xf>
    <xf numFmtId="0" fontId="8" fillId="0" borderId="0" xfId="0" applyFont="1"/>
    <xf numFmtId="0" fontId="0" fillId="11" borderId="17" xfId="0" applyFill="1" applyBorder="1" applyAlignment="1">
      <alignment vertical="center" wrapText="1"/>
    </xf>
    <xf numFmtId="0" fontId="9" fillId="11" borderId="5" xfId="0" applyFont="1" applyFill="1" applyBorder="1" applyAlignment="1">
      <alignment vertical="center" wrapText="1"/>
    </xf>
    <xf numFmtId="0" fontId="10" fillId="11" borderId="5" xfId="0" applyFont="1" applyFill="1" applyBorder="1" applyAlignment="1">
      <alignment vertical="center" wrapText="1"/>
    </xf>
    <xf numFmtId="0" fontId="0" fillId="11" borderId="5" xfId="0" applyFill="1" applyBorder="1" applyAlignment="1">
      <alignment vertical="center" wrapText="1"/>
    </xf>
    <xf numFmtId="0" fontId="8" fillId="7" borderId="5" xfId="0" applyFont="1" applyFill="1" applyBorder="1" applyAlignment="1">
      <alignment vertical="center" wrapText="1"/>
    </xf>
    <xf numFmtId="0" fontId="6" fillId="11" borderId="18" xfId="0" applyFont="1" applyFill="1" applyBorder="1" applyAlignment="1">
      <alignment vertical="center" wrapText="1"/>
    </xf>
    <xf numFmtId="0" fontId="8" fillId="0" borderId="0" xfId="0" applyFont="1" applyAlignment="1">
      <alignment vertical="top" wrapText="1"/>
    </xf>
    <xf numFmtId="0" fontId="0" fillId="0" borderId="0" xfId="0" applyAlignment="1">
      <alignment vertical="top" wrapText="1"/>
    </xf>
    <xf numFmtId="0" fontId="11" fillId="11" borderId="6" xfId="0" applyFont="1" applyFill="1" applyBorder="1" applyAlignment="1">
      <alignment vertical="center"/>
    </xf>
    <xf numFmtId="0" fontId="9" fillId="11" borderId="6" xfId="0" applyFont="1" applyFill="1" applyBorder="1" applyAlignment="1">
      <alignment vertical="center"/>
    </xf>
    <xf numFmtId="0" fontId="9" fillId="11" borderId="6" xfId="0" applyFont="1" applyFill="1" applyBorder="1" applyAlignment="1">
      <alignment vertical="center" wrapText="1"/>
    </xf>
    <xf numFmtId="0" fontId="0" fillId="11" borderId="6" xfId="0" applyFill="1" applyBorder="1" applyAlignment="1">
      <alignment vertical="center"/>
    </xf>
    <xf numFmtId="0" fontId="6" fillId="11" borderId="19" xfId="0" applyFont="1" applyFill="1" applyBorder="1" applyAlignment="1">
      <alignment vertical="center" wrapText="1"/>
    </xf>
    <xf numFmtId="0" fontId="8" fillId="0" borderId="0" xfId="0" applyFont="1" applyAlignment="1">
      <alignment vertical="top"/>
    </xf>
    <xf numFmtId="0" fontId="0" fillId="0" borderId="0" xfId="0" applyAlignment="1">
      <alignment vertical="top"/>
    </xf>
    <xf numFmtId="0" fontId="11" fillId="11" borderId="6" xfId="0" applyFont="1" applyFill="1" applyBorder="1" applyAlignment="1">
      <alignment vertical="center" wrapText="1"/>
    </xf>
    <xf numFmtId="0" fontId="0" fillId="11" borderId="19" xfId="0" applyFill="1" applyBorder="1" applyAlignment="1">
      <alignment vertical="center" wrapText="1"/>
    </xf>
    <xf numFmtId="0" fontId="0" fillId="11" borderId="19" xfId="0" applyFill="1" applyBorder="1" applyAlignment="1">
      <alignment vertical="center"/>
    </xf>
    <xf numFmtId="0" fontId="6" fillId="11" borderId="6" xfId="0" applyFont="1" applyFill="1" applyBorder="1" applyAlignment="1">
      <alignment vertical="center"/>
    </xf>
    <xf numFmtId="0" fontId="13" fillId="11" borderId="6" xfId="0" applyFont="1" applyFill="1" applyBorder="1" applyAlignment="1">
      <alignment vertical="center"/>
    </xf>
    <xf numFmtId="0" fontId="11" fillId="11" borderId="6" xfId="0" applyFont="1" applyFill="1" applyBorder="1" applyAlignment="1">
      <alignment horizontal="left" vertical="center" wrapText="1"/>
    </xf>
    <xf numFmtId="0" fontId="0" fillId="11" borderId="19" xfId="0" applyFill="1" applyBorder="1" applyAlignment="1">
      <alignment horizontal="left" vertical="center"/>
    </xf>
    <xf numFmtId="0" fontId="11" fillId="11" borderId="20" xfId="0" applyFont="1" applyFill="1" applyBorder="1" applyAlignment="1">
      <alignment vertical="center"/>
    </xf>
    <xf numFmtId="0" fontId="11" fillId="11" borderId="20" xfId="0" applyFont="1" applyFill="1" applyBorder="1" applyAlignment="1">
      <alignment vertical="center" wrapText="1"/>
    </xf>
    <xf numFmtId="0" fontId="0" fillId="11" borderId="20" xfId="0" applyFill="1" applyBorder="1" applyAlignment="1">
      <alignment vertical="center"/>
    </xf>
    <xf numFmtId="0" fontId="0" fillId="11" borderId="21" xfId="0" applyFill="1" applyBorder="1" applyAlignment="1">
      <alignment vertical="center"/>
    </xf>
    <xf numFmtId="0" fontId="1" fillId="0" borderId="0" xfId="0" applyFont="1" applyAlignment="1">
      <alignment wrapText="1"/>
    </xf>
  </cellXfs>
  <cellStyles count="1">
    <cellStyle name="Normal" xfId="0" builtinId="0"/>
  </cellStyles>
  <dxfs count="8">
    <dxf>
      <font>
        <b/>
        <i val="0"/>
      </font>
      <fill>
        <patternFill patternType="solid">
          <bgColor rgb="FFFFFF00"/>
        </patternFill>
      </fill>
    </dxf>
    <dxf>
      <font>
        <b/>
        <i val="0"/>
      </font>
      <fill>
        <patternFill patternType="solid">
          <bgColor rgb="FFFFC000"/>
        </patternFill>
      </fill>
    </dxf>
    <dxf>
      <font>
        <b/>
        <i val="0"/>
        <color rgb="FFFFFFFF"/>
      </font>
      <fill>
        <patternFill patternType="solid">
          <bgColor rgb="FFFF0000"/>
        </patternFill>
      </fill>
    </dxf>
    <dxf>
      <font>
        <b/>
        <i val="0"/>
        <color rgb="FFFFFFFF"/>
      </font>
      <fill>
        <patternFill patternType="solid">
          <bgColor rgb="FF92D050"/>
        </patternFill>
      </fill>
    </dxf>
    <dxf>
      <font>
        <b/>
        <i val="0"/>
      </font>
      <fill>
        <patternFill patternType="solid">
          <bgColor rgb="FFFFFF00"/>
        </patternFill>
      </fill>
    </dxf>
    <dxf>
      <font>
        <b/>
        <i val="0"/>
      </font>
      <fill>
        <patternFill patternType="solid">
          <bgColor rgb="FFFFC000"/>
        </patternFill>
      </fill>
    </dxf>
    <dxf>
      <font>
        <b/>
        <i val="0"/>
        <color rgb="FFFFFFFF"/>
      </font>
      <fill>
        <patternFill patternType="solid">
          <bgColor rgb="FFFF0000"/>
        </patternFill>
      </fill>
    </dxf>
    <dxf>
      <font>
        <b/>
        <i val="0"/>
        <color rgb="FFFFFFFF"/>
      </font>
      <fill>
        <patternFill patternType="solid">
          <bgColor rgb="FF92D050"/>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62"/>
  <sheetViews>
    <sheetView tabSelected="1" workbookViewId="0">
      <selection activeCell="A41" sqref="A41:A62"/>
    </sheetView>
  </sheetViews>
  <sheetFormatPr defaultRowHeight="15"/>
  <cols>
    <col min="2" max="2" width="59.7109375" customWidth="1"/>
    <col min="3" max="3" width="94.5703125" customWidth="1"/>
    <col min="4" max="4" width="82.85546875" customWidth="1"/>
    <col min="5" max="5" width="59.140625" customWidth="1"/>
    <col min="6" max="6" width="18" style="23" customWidth="1"/>
    <col min="7" max="7" width="16.28515625" style="23" customWidth="1"/>
    <col min="8" max="8" width="17.7109375" style="12" customWidth="1"/>
    <col min="9" max="9" width="17.5703125" customWidth="1"/>
    <col min="10" max="10" width="75.85546875" customWidth="1"/>
  </cols>
  <sheetData>
    <row r="1" spans="1:19" ht="46.5" customHeight="1">
      <c r="A1" s="1" t="s">
        <v>0</v>
      </c>
      <c r="B1" s="1"/>
      <c r="C1" s="1"/>
      <c r="D1" s="2"/>
      <c r="E1" s="3"/>
      <c r="F1" s="4"/>
      <c r="G1"/>
      <c r="H1" s="5"/>
      <c r="I1" s="4"/>
      <c r="J1" s="4"/>
      <c r="K1" s="4"/>
      <c r="L1" s="4"/>
      <c r="M1" s="4"/>
      <c r="P1" s="4"/>
      <c r="Q1" s="4"/>
      <c r="R1" s="4"/>
      <c r="S1" s="4"/>
    </row>
    <row r="2" spans="1:19" ht="18.75">
      <c r="D2" s="3"/>
      <c r="E2" s="3"/>
      <c r="F2"/>
      <c r="G2"/>
      <c r="H2" s="6"/>
    </row>
    <row r="3" spans="1:19" ht="18.75">
      <c r="D3" s="3"/>
      <c r="E3" s="3"/>
      <c r="F3"/>
      <c r="G3"/>
      <c r="H3" s="6"/>
    </row>
    <row r="4" spans="1:19" ht="18.75">
      <c r="A4" t="s">
        <v>1</v>
      </c>
      <c r="D4" s="3"/>
      <c r="E4" s="3"/>
      <c r="F4"/>
      <c r="G4"/>
      <c r="H4" s="6"/>
    </row>
    <row r="5" spans="1:19" ht="18.75">
      <c r="A5" t="s">
        <v>2</v>
      </c>
      <c r="D5" s="3"/>
      <c r="E5" s="3"/>
      <c r="F5"/>
      <c r="G5"/>
      <c r="H5" s="6"/>
    </row>
    <row r="6" spans="1:19" ht="18.75">
      <c r="A6" t="s">
        <v>3</v>
      </c>
      <c r="D6" s="3"/>
      <c r="E6" s="3"/>
      <c r="F6"/>
      <c r="G6"/>
      <c r="H6" s="6"/>
    </row>
    <row r="7" spans="1:19" ht="18.75">
      <c r="A7" t="s">
        <v>4</v>
      </c>
      <c r="D7" s="3"/>
      <c r="E7" s="3"/>
      <c r="F7"/>
      <c r="G7"/>
      <c r="H7" s="6"/>
    </row>
    <row r="8" spans="1:19" ht="18.75">
      <c r="A8" t="s">
        <v>5</v>
      </c>
      <c r="D8" s="3"/>
      <c r="E8" s="3"/>
      <c r="F8"/>
      <c r="G8"/>
      <c r="H8" s="6"/>
    </row>
    <row r="9" spans="1:19" ht="18.75">
      <c r="D9" s="3"/>
      <c r="E9" s="3"/>
      <c r="F9"/>
      <c r="G9"/>
      <c r="H9" s="6"/>
    </row>
    <row r="10" spans="1:19" ht="18.75">
      <c r="D10" s="3"/>
      <c r="E10" s="3"/>
      <c r="F10"/>
      <c r="G10"/>
      <c r="H10" s="6"/>
    </row>
    <row r="11" spans="1:19" ht="18.75" customHeight="1">
      <c r="A11" s="7" t="s">
        <v>6</v>
      </c>
      <c r="B11" s="8"/>
      <c r="C11" s="9"/>
      <c r="D11" s="74"/>
      <c r="E11" s="74"/>
      <c r="F11"/>
      <c r="G11"/>
      <c r="H11" s="6"/>
    </row>
    <row r="12" spans="1:19" ht="18.75">
      <c r="A12" s="10" t="s">
        <v>7</v>
      </c>
      <c r="B12" s="10" t="s">
        <v>8</v>
      </c>
      <c r="C12" s="11" t="s">
        <v>9</v>
      </c>
      <c r="D12" s="74"/>
      <c r="E12" s="74"/>
      <c r="F12" s="4"/>
      <c r="G12"/>
      <c r="L12" s="4"/>
      <c r="P12" s="13"/>
      <c r="Q12" s="13"/>
      <c r="R12" s="13"/>
      <c r="S12" s="13"/>
    </row>
    <row r="13" spans="1:19" ht="15.75">
      <c r="A13" s="14">
        <v>1</v>
      </c>
      <c r="B13" s="14" t="s">
        <v>10</v>
      </c>
      <c r="C13" s="15" t="s">
        <v>11</v>
      </c>
      <c r="D13" s="74"/>
      <c r="E13" s="74"/>
      <c r="F13" s="16"/>
      <c r="G13"/>
      <c r="L13" s="17"/>
      <c r="P13" s="16"/>
      <c r="Q13" s="16"/>
      <c r="R13" s="16"/>
      <c r="S13" s="16"/>
    </row>
    <row r="14" spans="1:19" ht="15.75">
      <c r="A14" s="14">
        <v>2</v>
      </c>
      <c r="B14" s="14" t="s">
        <v>12</v>
      </c>
      <c r="C14" s="15" t="s">
        <v>13</v>
      </c>
      <c r="D14" s="74"/>
      <c r="E14" s="74"/>
      <c r="F14" s="16"/>
      <c r="G14"/>
      <c r="L14" s="17"/>
      <c r="P14" s="16"/>
      <c r="Q14" s="16"/>
      <c r="R14" s="16"/>
      <c r="S14" s="16"/>
    </row>
    <row r="15" spans="1:19" ht="15.75">
      <c r="A15" s="14">
        <v>3</v>
      </c>
      <c r="B15" s="14" t="s">
        <v>14</v>
      </c>
      <c r="C15" s="15" t="s">
        <v>15</v>
      </c>
      <c r="D15" s="74"/>
      <c r="E15" s="74"/>
      <c r="F15" s="16"/>
      <c r="G15"/>
      <c r="L15" s="17"/>
      <c r="P15" s="16"/>
      <c r="Q15" s="16"/>
      <c r="R15" s="16"/>
      <c r="S15" s="16"/>
    </row>
    <row r="16" spans="1:19" ht="15.75">
      <c r="A16" s="14">
        <v>4</v>
      </c>
      <c r="B16" s="14" t="s">
        <v>16</v>
      </c>
      <c r="C16" s="15" t="s">
        <v>17</v>
      </c>
      <c r="D16" s="74"/>
      <c r="E16" s="74"/>
      <c r="F16" s="16"/>
      <c r="G16"/>
      <c r="L16" s="17"/>
      <c r="P16" s="16"/>
      <c r="Q16" s="16"/>
      <c r="R16" s="16"/>
      <c r="S16" s="16"/>
    </row>
    <row r="17" spans="1:7">
      <c r="D17" s="74"/>
      <c r="E17" s="74"/>
      <c r="F17"/>
      <c r="G17"/>
    </row>
    <row r="18" spans="1:7" ht="18.75">
      <c r="A18" s="7" t="s">
        <v>18</v>
      </c>
      <c r="B18" s="8"/>
      <c r="C18" s="9"/>
      <c r="D18" s="74"/>
      <c r="E18" s="74"/>
      <c r="F18"/>
      <c r="G18"/>
    </row>
    <row r="19" spans="1:7" ht="18.75">
      <c r="A19" s="18" t="s">
        <v>19</v>
      </c>
      <c r="B19" s="10" t="s">
        <v>20</v>
      </c>
      <c r="C19" s="11" t="s">
        <v>9</v>
      </c>
      <c r="D19" s="74"/>
      <c r="E19" s="74"/>
      <c r="F19"/>
      <c r="G19"/>
    </row>
    <row r="20" spans="1:7" ht="15.75">
      <c r="A20" s="19">
        <v>1</v>
      </c>
      <c r="B20" s="20" t="s">
        <v>21</v>
      </c>
      <c r="C20" s="21" t="s">
        <v>22</v>
      </c>
      <c r="D20" s="74"/>
      <c r="E20" s="74"/>
      <c r="F20"/>
      <c r="G20"/>
    </row>
    <row r="21" spans="1:7" ht="15.75">
      <c r="A21" s="22">
        <v>2</v>
      </c>
      <c r="B21" s="14" t="s">
        <v>23</v>
      </c>
      <c r="C21" s="15" t="s">
        <v>24</v>
      </c>
      <c r="D21" s="74"/>
      <c r="E21" s="74"/>
      <c r="F21"/>
      <c r="G21"/>
    </row>
    <row r="22" spans="1:7" ht="15.75">
      <c r="A22" s="22">
        <v>3</v>
      </c>
      <c r="B22" s="14" t="s">
        <v>25</v>
      </c>
      <c r="C22" s="15" t="s">
        <v>26</v>
      </c>
      <c r="D22" s="74"/>
      <c r="E22" s="74"/>
    </row>
    <row r="23" spans="1:7" ht="15.75">
      <c r="A23" s="22">
        <v>4</v>
      </c>
      <c r="B23" s="14" t="s">
        <v>27</v>
      </c>
      <c r="C23" s="15" t="s">
        <v>28</v>
      </c>
      <c r="D23" s="74"/>
      <c r="E23" s="74"/>
    </row>
    <row r="24" spans="1:7" ht="15.75">
      <c r="A24" s="24"/>
      <c r="B24" s="25"/>
      <c r="C24" s="16"/>
      <c r="D24" s="74"/>
      <c r="E24" s="74"/>
    </row>
    <row r="25" spans="1:7" ht="18.75">
      <c r="A25" s="7" t="s">
        <v>29</v>
      </c>
      <c r="B25" s="9"/>
      <c r="C25" s="16"/>
      <c r="D25" s="74"/>
      <c r="E25" s="74"/>
    </row>
    <row r="26" spans="1:7" ht="15.75">
      <c r="A26" s="26" t="s">
        <v>30</v>
      </c>
      <c r="B26" s="27" t="s">
        <v>31</v>
      </c>
      <c r="C26" s="16"/>
      <c r="D26" s="74"/>
      <c r="E26" s="74"/>
    </row>
    <row r="27" spans="1:7" ht="15.75">
      <c r="A27" s="14">
        <v>1</v>
      </c>
      <c r="B27" s="15" t="s">
        <v>32</v>
      </c>
      <c r="C27" s="16"/>
      <c r="D27" s="74"/>
      <c r="E27" s="74"/>
    </row>
    <row r="28" spans="1:7" ht="16.5">
      <c r="A28" s="14">
        <v>2</v>
      </c>
      <c r="B28" s="28" t="s">
        <v>33</v>
      </c>
      <c r="C28" s="16"/>
      <c r="D28" s="74"/>
      <c r="E28" s="74"/>
    </row>
    <row r="29" spans="1:7" ht="16.5">
      <c r="A29" s="20">
        <v>3</v>
      </c>
      <c r="B29" s="29" t="s">
        <v>34</v>
      </c>
      <c r="C29" s="16"/>
      <c r="D29" s="74"/>
      <c r="E29" s="74"/>
    </row>
    <row r="30" spans="1:7" ht="15.75">
      <c r="A30" s="14">
        <v>4</v>
      </c>
      <c r="B30" s="15" t="s">
        <v>35</v>
      </c>
      <c r="C30" s="16"/>
      <c r="D30" s="74"/>
      <c r="E30" s="74"/>
    </row>
    <row r="31" spans="1:7" ht="15.75">
      <c r="A31" s="24"/>
      <c r="B31" s="25"/>
      <c r="C31" s="16"/>
      <c r="D31" s="74"/>
      <c r="E31" s="74"/>
    </row>
    <row r="32" spans="1:7" ht="15.75">
      <c r="A32" s="25"/>
      <c r="B32" s="16"/>
      <c r="C32" s="16"/>
      <c r="D32" s="74"/>
      <c r="E32" s="74"/>
    </row>
    <row r="33" spans="1:12" ht="15.75">
      <c r="A33" s="30" t="s">
        <v>36</v>
      </c>
      <c r="B33" s="31"/>
      <c r="C33" s="16"/>
      <c r="D33" s="74"/>
      <c r="E33" s="74"/>
    </row>
    <row r="34" spans="1:12" ht="15.75">
      <c r="A34" s="32" t="s">
        <v>37</v>
      </c>
      <c r="B34" s="33"/>
      <c r="C34" s="16"/>
      <c r="D34" s="74"/>
      <c r="E34" s="74"/>
    </row>
    <row r="35" spans="1:12" ht="15.75">
      <c r="A35" s="34" t="s">
        <v>38</v>
      </c>
      <c r="B35" s="35" t="s">
        <v>32</v>
      </c>
      <c r="C35" s="16"/>
      <c r="D35" s="74"/>
      <c r="E35" s="74"/>
    </row>
    <row r="36" spans="1:12" ht="16.5">
      <c r="A36" s="36" t="s">
        <v>39</v>
      </c>
      <c r="B36" s="37" t="s">
        <v>33</v>
      </c>
      <c r="C36" s="16"/>
      <c r="D36" s="74"/>
      <c r="E36" s="74"/>
    </row>
    <row r="37" spans="1:12" ht="16.5">
      <c r="A37" s="38" t="s">
        <v>40</v>
      </c>
      <c r="B37" s="39" t="s">
        <v>34</v>
      </c>
      <c r="C37" s="16"/>
      <c r="D37" s="74"/>
      <c r="E37" s="74"/>
    </row>
    <row r="38" spans="1:12" ht="15.75">
      <c r="A38" s="40" t="s">
        <v>41</v>
      </c>
      <c r="B38" s="35" t="s">
        <v>35</v>
      </c>
      <c r="C38" s="16"/>
      <c r="D38" s="74"/>
      <c r="E38" s="74"/>
    </row>
    <row r="39" spans="1:12" ht="15.75">
      <c r="A39" s="41"/>
      <c r="B39" s="25"/>
      <c r="C39" s="16"/>
      <c r="D39" s="74"/>
      <c r="E39" s="74"/>
    </row>
    <row r="40" spans="1:12" s="47" customFormat="1" ht="15" customHeight="1">
      <c r="A40" s="42" t="s">
        <v>42</v>
      </c>
      <c r="B40" s="43" t="s">
        <v>43</v>
      </c>
      <c r="C40" s="43" t="s">
        <v>44</v>
      </c>
      <c r="D40" s="44" t="s">
        <v>45</v>
      </c>
      <c r="E40" s="45" t="s">
        <v>46</v>
      </c>
      <c r="F40" s="46" t="s">
        <v>8</v>
      </c>
      <c r="G40" s="46" t="s">
        <v>20</v>
      </c>
      <c r="H40" s="46" t="s">
        <v>31</v>
      </c>
      <c r="I40" s="45" t="s">
        <v>47</v>
      </c>
      <c r="J40" s="45" t="s">
        <v>48</v>
      </c>
    </row>
    <row r="41" spans="1:12" s="55" customFormat="1" ht="15" customHeight="1">
      <c r="A41" s="48" t="s">
        <v>49</v>
      </c>
      <c r="B41" s="49" t="s">
        <v>50</v>
      </c>
      <c r="C41" s="49" t="s">
        <v>51</v>
      </c>
      <c r="D41" s="50" t="s">
        <v>52</v>
      </c>
      <c r="E41" s="49" t="s">
        <v>53</v>
      </c>
      <c r="F41" s="51">
        <v>1</v>
      </c>
      <c r="G41" s="51">
        <v>3</v>
      </c>
      <c r="H41" s="52">
        <f>F41*G41</f>
        <v>3</v>
      </c>
      <c r="I41" s="51" t="s">
        <v>54</v>
      </c>
      <c r="J41" s="53" t="s">
        <v>55</v>
      </c>
      <c r="K41" s="54"/>
      <c r="L41" s="54"/>
    </row>
    <row r="42" spans="1:12" s="62" customFormat="1" ht="409.6" customHeight="1">
      <c r="A42" s="48" t="s">
        <v>56</v>
      </c>
      <c r="B42" s="56" t="s">
        <v>57</v>
      </c>
      <c r="C42" s="57" t="s">
        <v>58</v>
      </c>
      <c r="D42" s="58" t="s">
        <v>59</v>
      </c>
      <c r="E42" s="58" t="s">
        <v>60</v>
      </c>
      <c r="F42" s="59">
        <v>1</v>
      </c>
      <c r="G42" s="59">
        <v>4</v>
      </c>
      <c r="H42" s="52">
        <f>F42*G42</f>
        <v>4</v>
      </c>
      <c r="I42" s="59" t="s">
        <v>54</v>
      </c>
      <c r="J42" s="60" t="s">
        <v>61</v>
      </c>
      <c r="K42" s="61"/>
      <c r="L42" s="61"/>
    </row>
    <row r="43" spans="1:12" s="62" customFormat="1" ht="15" customHeight="1">
      <c r="A43" s="48" t="s">
        <v>62</v>
      </c>
      <c r="B43" s="56" t="s">
        <v>63</v>
      </c>
      <c r="C43" s="57" t="s">
        <v>64</v>
      </c>
      <c r="D43" s="63" t="s">
        <v>65</v>
      </c>
      <c r="E43" s="63" t="s">
        <v>66</v>
      </c>
      <c r="F43" s="59">
        <v>3</v>
      </c>
      <c r="G43" s="59">
        <v>3</v>
      </c>
      <c r="H43" s="52">
        <f>F43*G43</f>
        <v>9</v>
      </c>
      <c r="I43" s="59" t="s">
        <v>67</v>
      </c>
      <c r="J43" s="64" t="s">
        <v>68</v>
      </c>
    </row>
    <row r="44" spans="1:12" s="62" customFormat="1" ht="15" customHeight="1">
      <c r="A44" s="48" t="s">
        <v>69</v>
      </c>
      <c r="B44" s="56" t="s">
        <v>63</v>
      </c>
      <c r="C44" s="56" t="s">
        <v>70</v>
      </c>
      <c r="D44" s="63" t="s">
        <v>71</v>
      </c>
      <c r="E44" s="63" t="s">
        <v>72</v>
      </c>
      <c r="F44" s="59">
        <v>1</v>
      </c>
      <c r="G44" s="59">
        <v>3</v>
      </c>
      <c r="H44" s="52">
        <f>F44*G44</f>
        <v>3</v>
      </c>
      <c r="I44" s="59" t="s">
        <v>54</v>
      </c>
      <c r="J44" s="64" t="s">
        <v>73</v>
      </c>
    </row>
    <row r="45" spans="1:12" ht="409.6" customHeight="1">
      <c r="A45" s="48" t="s">
        <v>74</v>
      </c>
      <c r="B45" s="56" t="s">
        <v>63</v>
      </c>
      <c r="C45" s="56" t="s">
        <v>75</v>
      </c>
      <c r="D45" s="63" t="s">
        <v>76</v>
      </c>
      <c r="E45" s="56" t="s">
        <v>77</v>
      </c>
      <c r="F45" s="59">
        <v>3</v>
      </c>
      <c r="G45" s="59">
        <v>3</v>
      </c>
      <c r="H45" s="52">
        <f>F45*G45</f>
        <v>9</v>
      </c>
      <c r="I45" s="59" t="s">
        <v>67</v>
      </c>
      <c r="J45" s="65" t="s">
        <v>78</v>
      </c>
    </row>
    <row r="46" spans="1:12" ht="15" customHeight="1">
      <c r="A46" s="48" t="s">
        <v>79</v>
      </c>
      <c r="B46" s="56" t="s">
        <v>63</v>
      </c>
      <c r="C46" s="58" t="s">
        <v>80</v>
      </c>
      <c r="D46" s="56" t="s">
        <v>81</v>
      </c>
      <c r="E46" s="56" t="s">
        <v>82</v>
      </c>
      <c r="F46" s="59">
        <v>3</v>
      </c>
      <c r="G46" s="59">
        <v>2</v>
      </c>
      <c r="H46" s="52">
        <f>F46*G46</f>
        <v>6</v>
      </c>
      <c r="I46" s="59" t="s">
        <v>67</v>
      </c>
      <c r="J46" s="65" t="s">
        <v>83</v>
      </c>
    </row>
    <row r="47" spans="1:12" ht="409.6" customHeight="1">
      <c r="A47" s="48" t="s">
        <v>84</v>
      </c>
      <c r="B47" s="56" t="s">
        <v>63</v>
      </c>
      <c r="C47" s="57" t="s">
        <v>85</v>
      </c>
      <c r="D47" s="63" t="s">
        <v>86</v>
      </c>
      <c r="E47" s="63" t="s">
        <v>87</v>
      </c>
      <c r="F47" s="59">
        <v>1</v>
      </c>
      <c r="G47" s="59">
        <v>3</v>
      </c>
      <c r="H47" s="52">
        <f>F47*G47</f>
        <v>3</v>
      </c>
      <c r="I47" s="59" t="s">
        <v>67</v>
      </c>
      <c r="J47" s="65" t="s">
        <v>88</v>
      </c>
    </row>
    <row r="48" spans="1:12" ht="15" customHeight="1">
      <c r="A48" s="48" t="s">
        <v>89</v>
      </c>
      <c r="B48" s="57" t="s">
        <v>90</v>
      </c>
      <c r="C48" s="66" t="s">
        <v>91</v>
      </c>
      <c r="D48" s="67" t="s">
        <v>92</v>
      </c>
      <c r="E48" s="66" t="s">
        <v>93</v>
      </c>
      <c r="F48" s="59">
        <v>1</v>
      </c>
      <c r="G48" s="59">
        <v>4</v>
      </c>
      <c r="H48" s="52">
        <f>F48*G48</f>
        <v>4</v>
      </c>
      <c r="I48" s="59" t="s">
        <v>67</v>
      </c>
      <c r="J48" s="65" t="s">
        <v>94</v>
      </c>
    </row>
    <row r="49" spans="1:10" ht="15" customHeight="1">
      <c r="A49" s="48" t="s">
        <v>95</v>
      </c>
      <c r="B49" s="56" t="s">
        <v>57</v>
      </c>
      <c r="C49" s="56" t="s">
        <v>96</v>
      </c>
      <c r="D49" s="56" t="s">
        <v>97</v>
      </c>
      <c r="E49" s="56" t="s">
        <v>98</v>
      </c>
      <c r="F49" s="59">
        <v>3</v>
      </c>
      <c r="G49" s="59">
        <v>3</v>
      </c>
      <c r="H49" s="52">
        <f>F49*G49</f>
        <v>9</v>
      </c>
      <c r="I49" s="59" t="s">
        <v>67</v>
      </c>
      <c r="J49" s="65" t="s">
        <v>99</v>
      </c>
    </row>
    <row r="50" spans="1:10" ht="15" customHeight="1">
      <c r="A50" s="48" t="s">
        <v>100</v>
      </c>
      <c r="B50" s="56" t="s">
        <v>57</v>
      </c>
      <c r="C50" s="57" t="s">
        <v>101</v>
      </c>
      <c r="D50" s="56" t="s">
        <v>102</v>
      </c>
      <c r="E50" s="56" t="s">
        <v>103</v>
      </c>
      <c r="F50" s="59">
        <v>4</v>
      </c>
      <c r="G50" s="59">
        <v>1</v>
      </c>
      <c r="H50" s="52">
        <f>F50*G50</f>
        <v>4</v>
      </c>
      <c r="I50" s="59" t="s">
        <v>67</v>
      </c>
      <c r="J50" s="65" t="s">
        <v>104</v>
      </c>
    </row>
    <row r="51" spans="1:10" ht="121.5" customHeight="1">
      <c r="A51" s="48" t="s">
        <v>105</v>
      </c>
      <c r="B51" s="56" t="s">
        <v>63</v>
      </c>
      <c r="C51" s="56" t="s">
        <v>106</v>
      </c>
      <c r="D51" s="58" t="s">
        <v>107</v>
      </c>
      <c r="E51" s="57" t="s">
        <v>108</v>
      </c>
      <c r="F51" s="59">
        <v>2</v>
      </c>
      <c r="G51" s="59">
        <f>4</f>
        <v>4</v>
      </c>
      <c r="H51" s="52">
        <f>F51*G51</f>
        <v>8</v>
      </c>
      <c r="I51" s="59" t="s">
        <v>67</v>
      </c>
      <c r="J51" s="65" t="s">
        <v>109</v>
      </c>
    </row>
    <row r="52" spans="1:10" ht="15" customHeight="1">
      <c r="A52" s="48" t="s">
        <v>110</v>
      </c>
      <c r="B52" s="56" t="s">
        <v>63</v>
      </c>
      <c r="C52" s="56" t="s">
        <v>111</v>
      </c>
      <c r="D52" s="56" t="s">
        <v>112</v>
      </c>
      <c r="E52" s="56" t="s">
        <v>77</v>
      </c>
      <c r="F52" s="59">
        <v>1</v>
      </c>
      <c r="G52" s="59">
        <f>4</f>
        <v>4</v>
      </c>
      <c r="H52" s="52">
        <f>F52*G52</f>
        <v>4</v>
      </c>
      <c r="I52" s="59" t="s">
        <v>67</v>
      </c>
      <c r="J52" s="65" t="s">
        <v>113</v>
      </c>
    </row>
    <row r="53" spans="1:10" ht="15" customHeight="1">
      <c r="A53" s="48" t="s">
        <v>114</v>
      </c>
      <c r="B53" s="56" t="s">
        <v>63</v>
      </c>
      <c r="C53" s="56" t="s">
        <v>115</v>
      </c>
      <c r="D53" s="56" t="s">
        <v>116</v>
      </c>
      <c r="E53" s="56" t="s">
        <v>77</v>
      </c>
      <c r="F53" s="59">
        <v>2</v>
      </c>
      <c r="G53" s="59">
        <v>3</v>
      </c>
      <c r="H53" s="52">
        <f>F53*G53</f>
        <v>6</v>
      </c>
      <c r="I53" s="59" t="s">
        <v>67</v>
      </c>
      <c r="J53" s="65" t="s">
        <v>117</v>
      </c>
    </row>
    <row r="54" spans="1:10" ht="15" customHeight="1">
      <c r="A54" s="48" t="s">
        <v>118</v>
      </c>
      <c r="B54" s="56" t="s">
        <v>63</v>
      </c>
      <c r="C54" s="63" t="s">
        <v>119</v>
      </c>
      <c r="D54" s="56" t="s">
        <v>120</v>
      </c>
      <c r="E54" s="56" t="s">
        <v>121</v>
      </c>
      <c r="F54" s="59">
        <v>1</v>
      </c>
      <c r="G54" s="59">
        <f>4</f>
        <v>4</v>
      </c>
      <c r="H54" s="52">
        <f>F54*G54</f>
        <v>4</v>
      </c>
      <c r="I54" s="59" t="s">
        <v>67</v>
      </c>
      <c r="J54" s="65" t="s">
        <v>122</v>
      </c>
    </row>
    <row r="55" spans="1:10" ht="15" customHeight="1">
      <c r="A55" s="48" t="s">
        <v>123</v>
      </c>
      <c r="B55" s="56" t="s">
        <v>124</v>
      </c>
      <c r="C55" s="66" t="s">
        <v>125</v>
      </c>
      <c r="D55" s="66" t="s">
        <v>126</v>
      </c>
      <c r="E55" s="66" t="s">
        <v>127</v>
      </c>
      <c r="F55" s="59">
        <v>2</v>
      </c>
      <c r="G55" s="59">
        <f>4</f>
        <v>4</v>
      </c>
      <c r="H55" s="52">
        <f>F55*G55</f>
        <v>8</v>
      </c>
      <c r="I55" s="59" t="s">
        <v>54</v>
      </c>
      <c r="J55" s="65" t="s">
        <v>128</v>
      </c>
    </row>
    <row r="56" spans="1:10" ht="15" customHeight="1">
      <c r="A56" s="48" t="s">
        <v>129</v>
      </c>
      <c r="B56" s="56" t="s">
        <v>124</v>
      </c>
      <c r="C56" s="56" t="s">
        <v>130</v>
      </c>
      <c r="D56" s="56" t="s">
        <v>131</v>
      </c>
      <c r="E56" s="56" t="s">
        <v>127</v>
      </c>
      <c r="F56" s="59">
        <v>1</v>
      </c>
      <c r="G56" s="59">
        <f>4</f>
        <v>4</v>
      </c>
      <c r="H56" s="52">
        <f>F56*G56</f>
        <v>4</v>
      </c>
      <c r="I56" s="59" t="s">
        <v>54</v>
      </c>
      <c r="J56" s="65" t="s">
        <v>132</v>
      </c>
    </row>
    <row r="57" spans="1:10" ht="15" customHeight="1">
      <c r="A57" s="48" t="s">
        <v>133</v>
      </c>
      <c r="B57" s="56" t="s">
        <v>63</v>
      </c>
      <c r="C57" s="56" t="s">
        <v>134</v>
      </c>
      <c r="D57" s="56" t="s">
        <v>135</v>
      </c>
      <c r="E57" s="56" t="s">
        <v>136</v>
      </c>
      <c r="F57" s="59">
        <v>2</v>
      </c>
      <c r="G57" s="59">
        <v>4</v>
      </c>
      <c r="H57" s="52">
        <f>F57*G57</f>
        <v>8</v>
      </c>
      <c r="I57" s="59" t="s">
        <v>67</v>
      </c>
      <c r="J57" s="65" t="s">
        <v>137</v>
      </c>
    </row>
    <row r="58" spans="1:10" ht="15" customHeight="1">
      <c r="A58" s="48" t="s">
        <v>138</v>
      </c>
      <c r="B58" s="56" t="s">
        <v>63</v>
      </c>
      <c r="C58" s="57" t="s">
        <v>139</v>
      </c>
      <c r="D58" s="56" t="s">
        <v>135</v>
      </c>
      <c r="E58" s="56" t="s">
        <v>136</v>
      </c>
      <c r="F58" s="59">
        <v>1</v>
      </c>
      <c r="G58" s="59">
        <v>2</v>
      </c>
      <c r="H58" s="52">
        <f>F58*G58</f>
        <v>2</v>
      </c>
      <c r="I58" s="59" t="s">
        <v>67</v>
      </c>
      <c r="J58" s="65" t="s">
        <v>137</v>
      </c>
    </row>
    <row r="59" spans="1:10" ht="15" customHeight="1">
      <c r="A59" s="48" t="s">
        <v>140</v>
      </c>
      <c r="B59" s="56" t="s">
        <v>63</v>
      </c>
      <c r="C59" s="56" t="s">
        <v>141</v>
      </c>
      <c r="D59" s="63" t="s">
        <v>142</v>
      </c>
      <c r="E59" s="63" t="s">
        <v>143</v>
      </c>
      <c r="F59" s="59">
        <v>1</v>
      </c>
      <c r="G59" s="59">
        <v>1</v>
      </c>
      <c r="H59" s="52">
        <f>F59*G59</f>
        <v>1</v>
      </c>
      <c r="I59" s="59" t="s">
        <v>67</v>
      </c>
      <c r="J59" s="65"/>
    </row>
    <row r="60" spans="1:10" ht="409.6" customHeight="1">
      <c r="A60" s="48" t="s">
        <v>144</v>
      </c>
      <c r="B60" s="56" t="s">
        <v>145</v>
      </c>
      <c r="C60" s="56" t="s">
        <v>146</v>
      </c>
      <c r="D60" s="68" t="s">
        <v>147</v>
      </c>
      <c r="E60" s="63" t="s">
        <v>148</v>
      </c>
      <c r="F60" s="59">
        <v>1</v>
      </c>
      <c r="G60" s="59">
        <f>4</f>
        <v>4</v>
      </c>
      <c r="H60" s="52">
        <f>F60*G60</f>
        <v>4</v>
      </c>
      <c r="I60" s="59" t="s">
        <v>67</v>
      </c>
      <c r="J60" s="65" t="s">
        <v>149</v>
      </c>
    </row>
    <row r="61" spans="1:10" ht="409.6" customHeight="1">
      <c r="A61" s="48" t="s">
        <v>150</v>
      </c>
      <c r="B61" s="56" t="s">
        <v>151</v>
      </c>
      <c r="C61" s="56" t="s">
        <v>152</v>
      </c>
      <c r="D61" s="63" t="s">
        <v>153</v>
      </c>
      <c r="E61" s="63" t="s">
        <v>154</v>
      </c>
      <c r="F61" s="59">
        <v>1</v>
      </c>
      <c r="G61" s="59">
        <v>4</v>
      </c>
      <c r="H61" s="52">
        <f>F61*G61</f>
        <v>4</v>
      </c>
      <c r="I61" s="59" t="s">
        <v>67</v>
      </c>
      <c r="J61" s="69" t="s">
        <v>155</v>
      </c>
    </row>
    <row r="62" spans="1:10" ht="409.6" customHeight="1">
      <c r="A62" s="48" t="s">
        <v>156</v>
      </c>
      <c r="B62" s="70" t="s">
        <v>157</v>
      </c>
      <c r="C62" s="70" t="s">
        <v>158</v>
      </c>
      <c r="D62" s="71" t="s">
        <v>159</v>
      </c>
      <c r="E62" s="71" t="s">
        <v>160</v>
      </c>
      <c r="F62" s="72">
        <v>1</v>
      </c>
      <c r="G62" s="72">
        <v>3</v>
      </c>
      <c r="H62" s="52">
        <f>F62*G62</f>
        <v>3</v>
      </c>
      <c r="I62" s="72" t="s">
        <v>67</v>
      </c>
      <c r="J62" s="73" t="s">
        <v>161</v>
      </c>
    </row>
  </sheetData>
  <conditionalFormatting sqref="H41:H62">
    <cfRule type="cellIs" dxfId="7" priority="8" operator="between">
      <formula>1</formula>
      <formula>4</formula>
    </cfRule>
  </conditionalFormatting>
  <conditionalFormatting sqref="H41:H62">
    <cfRule type="cellIs" dxfId="6" priority="5" operator="between">
      <formula>13</formula>
      <formula>16</formula>
    </cfRule>
  </conditionalFormatting>
  <conditionalFormatting sqref="H41:H62">
    <cfRule type="cellIs" dxfId="5" priority="6" operator="between">
      <formula>9</formula>
      <formula>12</formula>
    </cfRule>
  </conditionalFormatting>
  <conditionalFormatting sqref="H41:H62">
    <cfRule type="cellIs" dxfId="4" priority="7" operator="between">
      <formula>5</formula>
      <formula>8</formula>
    </cfRule>
  </conditionalFormatting>
  <conditionalFormatting sqref="H40">
    <cfRule type="cellIs" dxfId="3" priority="4" operator="between">
      <formula>1</formula>
      <formula>4</formula>
    </cfRule>
  </conditionalFormatting>
  <conditionalFormatting sqref="H40">
    <cfRule type="cellIs" dxfId="2" priority="1" operator="between">
      <formula>13</formula>
      <formula>16</formula>
    </cfRule>
  </conditionalFormatting>
  <conditionalFormatting sqref="H40">
    <cfRule type="cellIs" dxfId="1" priority="2" operator="between">
      <formula>9</formula>
      <formula>12</formula>
    </cfRule>
  </conditionalFormatting>
  <conditionalFormatting sqref="H40">
    <cfRule type="cellIs" dxfId="0" priority="3" operator="between">
      <formula>5</formula>
      <formula>8</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ypededocument xmlns="5e559808-d930-4970-91a1-bd6f234f8931" xsi:nil="true"/>
    <TaxCatchAll xmlns="e8aab117-5955-4390-81ce-465e4528e65f" xsi:nil="true"/>
    <lcf76f155ced4ddcb4097134ff3c332f xmlns="5e559808-d930-4970-91a1-bd6f234f8931">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1AE86B12B2892468B4E66F9F0873F45" ma:contentTypeVersion="15" ma:contentTypeDescription="Create a new document." ma:contentTypeScope="" ma:versionID="ff8b3f593a3b18c614f55e7798a0c7b7">
  <xsd:schema xmlns:xsd="http://www.w3.org/2001/XMLSchema" xmlns:xs="http://www.w3.org/2001/XMLSchema" xmlns:p="http://schemas.microsoft.com/office/2006/metadata/properties" xmlns:ns2="5e559808-d930-4970-91a1-bd6f234f8931" xmlns:ns3="e8aab117-5955-4390-81ce-465e4528e65f" targetNamespace="http://schemas.microsoft.com/office/2006/metadata/properties" ma:root="true" ma:fieldsID="edc24b2e0e41619a1ca2dcefd59f18a2" ns2:_="" ns3:_="">
    <xsd:import namespace="5e559808-d930-4970-91a1-bd6f234f8931"/>
    <xsd:import namespace="e8aab117-5955-4390-81ce-465e4528e65f"/>
    <xsd:element name="properties">
      <xsd:complexType>
        <xsd:sequence>
          <xsd:element name="documentManagement">
            <xsd:complexType>
              <xsd:all>
                <xsd:element ref="ns2:MediaServiceMetadata" minOccurs="0"/>
                <xsd:element ref="ns2:MediaServiceFastMetadata" minOccurs="0"/>
                <xsd:element ref="ns2:MediaLengthInSeconds" minOccurs="0"/>
                <xsd:element ref="ns2:MediaServiceDateTaken" minOccurs="0"/>
                <xsd:element ref="ns2:MediaServiceLocatio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3:SharedWithUsers" minOccurs="0"/>
                <xsd:element ref="ns3:SharedWithDetails" minOccurs="0"/>
                <xsd:element ref="ns2:Typededocument"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559808-d930-4970-91a1-bd6f234f893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0" nillable="true" ma:displayName="MediaLengthInSeconds" ma:hidden="true" ma:internalName="MediaLengthInSeconds" ma:readOnly="true">
      <xsd:simpleType>
        <xsd:restriction base="dms:Unknown"/>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Location" ma:index="12" nillable="true" ma:displayName="Location" ma:indexed="true" ma:internalName="MediaServiceLocatio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51ffef63-4b63-4086-abdd-edc9d154709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Typededocument" ma:index="21" nillable="true" ma:displayName="Type de document" ma:format="Dropdown" ma:internalName="Typededocument">
      <xsd:simpleType>
        <xsd:restriction base="dms:Text">
          <xsd:maxLength value="255"/>
        </xsd:restriction>
      </xsd:simple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8aab117-5955-4390-81ce-465e4528e65f"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3d325a2c-4f9d-485a-8b53-02385c9b2f22}" ma:internalName="TaxCatchAll" ma:showField="CatchAllData" ma:web="e8aab117-5955-4390-81ce-465e4528e65f">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DE08928-DD53-44AD-94E9-53885C7ED1DA}"/>
</file>

<file path=customXml/itemProps2.xml><?xml version="1.0" encoding="utf-8"?>
<ds:datastoreItem xmlns:ds="http://schemas.openxmlformats.org/officeDocument/2006/customXml" ds:itemID="{82D588F7-DBCC-4FD4-A199-F39573E8D2A1}"/>
</file>

<file path=customXml/itemProps3.xml><?xml version="1.0" encoding="utf-8"?>
<ds:datastoreItem xmlns:ds="http://schemas.openxmlformats.org/officeDocument/2006/customXml" ds:itemID="{C49EFFE9-90C4-43DC-8474-FBF95DFAB85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Samira MHAMSA [EKVY]</cp:lastModifiedBy>
  <cp:revision/>
  <dcterms:created xsi:type="dcterms:W3CDTF">2023-08-31T08:57:24Z</dcterms:created>
  <dcterms:modified xsi:type="dcterms:W3CDTF">2023-09-27T20:24:40Z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0x01010051AE86B12B2892468B4E66F9F0873F45</vt:lpwstr>
  </property>
  <property fmtid="{D5CDD505-2E9C-101B-9397-08002B2CF9AE}" pid="3" name="MediaServiceImageTags">
    <vt:lpwstr/>
  </property>
</Properties>
</file>