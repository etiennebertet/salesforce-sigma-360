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5"/>
  <workbookPr defaultThemeVersion="166925"/>
  <mc:AlternateContent xmlns:mc="http://schemas.openxmlformats.org/markup-compatibility/2006">
    <mc:Choice Requires="x15">
      <x15ac:absPath xmlns:x15ac="http://schemas.microsoft.com/office/spreadsheetml/2010/11/ac" url="https://edumotic-my.sharepoint.com/personal/atif_satif_ekovya_com/Documents/Desktop/Risk_Matrix_6_Sigma_CRM/"/>
    </mc:Choice>
  </mc:AlternateContent>
  <xr:revisionPtr revIDLastSave="282" documentId="8_{48169AFF-FB0D-42E0-AD41-22D250C32D4B}" xr6:coauthVersionLast="47" xr6:coauthVersionMax="47" xr10:uidLastSave="{726A246E-EA29-4ED9-A665-986ABF8EA27A}"/>
  <bookViews>
    <workbookView xWindow="-110" yWindow="-110" windowWidth="19420" windowHeight="10420" xr2:uid="{00000000-000D-0000-FFFF-FFFF00000000}"/>
  </bookViews>
  <sheets>
    <sheet name="Risk Matrix"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 i="1" l="1"/>
  <c r="I49" i="1"/>
  <c r="I51" i="1"/>
  <c r="I52" i="1"/>
  <c r="I53" i="1"/>
  <c r="I54" i="1"/>
  <c r="I55" i="1"/>
  <c r="I56" i="1"/>
  <c r="I57" i="1"/>
  <c r="I58" i="1"/>
  <c r="I59" i="1"/>
  <c r="I60" i="1"/>
  <c r="I61" i="1"/>
  <c r="I62" i="1"/>
  <c r="I63" i="1"/>
  <c r="I64" i="1"/>
  <c r="I65" i="1"/>
  <c r="I66" i="1"/>
  <c r="I67" i="1"/>
  <c r="I68" i="1"/>
  <c r="I69" i="1"/>
  <c r="I48" i="1"/>
  <c r="H58" i="1"/>
  <c r="H59" i="1"/>
  <c r="H61" i="1"/>
  <c r="H62" i="1"/>
  <c r="H63" i="1"/>
  <c r="H6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author>
    <author>tc={B97606F1-4B51-4EA2-852F-09C8E2202F55}</author>
    <author>tc={7AD4306B-BD6E-41F4-AC3C-C3A209DAB1CA}</author>
  </authors>
  <commentList>
    <comment ref="B2" authorId="0" shapeId="0" xr:uid="{15AB0DE7-5D81-480F-9CF7-1DB082CD7A73}">
      <text>
        <r>
          <rPr>
            <b/>
            <sz val="9"/>
            <color indexed="81"/>
            <rFont val="Tahoma"/>
            <charset val="1"/>
          </rPr>
          <t xml:space="preserve">Ce document n'a pas d'indentifiant, il n'est pas daté, pas établi (c'est-à-dire rédigé, vérifié, approuvé).
Correspond-il à la charte graphique de l'entreprise (ce n'est plus un document de travail mais un document d'activité au sens de l'ISO 15489-1).
Il convient également de définir le mode de suivi des risques, par qui, etc., autrement dit, de procédurer son utilisation.
Voir la codification avec le gestionnaire documentaire </t>
        </r>
      </text>
    </comment>
    <comment ref="B18" authorId="0" shapeId="0" xr:uid="{4B184D2D-245A-4F1D-8509-7B78E3C44E8D}">
      <text>
        <r>
          <rPr>
            <b/>
            <sz val="9"/>
            <color indexed="81"/>
            <rFont val="Tahoma"/>
            <charset val="1"/>
          </rPr>
          <t>Utilisateur:</t>
        </r>
        <r>
          <rPr>
            <sz val="9"/>
            <color indexed="81"/>
            <rFont val="Tahoma"/>
            <charset val="1"/>
          </rPr>
          <t xml:space="preserve">
Préciser davantage ce que l'on entend dans les définitions.
Par exemple, les conséquences importantes doivent être caractérisées (impossibilité pour l'utilisateur d'avoir accès à la base de données, perte de connection pendant X temps, etc).
Cette échelle ne doit pas être interprétable.</t>
        </r>
      </text>
    </comment>
    <comment ref="B24" authorId="0" shapeId="0" xr:uid="{7F753EB3-3BBA-4D44-AC4D-27411F5698C2}">
      <text>
        <r>
          <rPr>
            <b/>
            <sz val="9"/>
            <color indexed="81"/>
            <rFont val="Tahoma"/>
            <charset val="1"/>
          </rPr>
          <t xml:space="preserve">Y-a-t-il une procédure de management du risque qui détaille davantage cette gestion du 
risque?
Note : décrire comment le risque peut être géré (réduit, supprimé), mais aussi transféré.
</t>
        </r>
        <r>
          <rPr>
            <sz val="9"/>
            <color indexed="81"/>
            <rFont val="Tahoma"/>
            <charset val="1"/>
          </rPr>
          <t xml:space="preserve">
Cf. série des ISO 31000 sur le management du risque et ISO 19600 sur la management de la compliance.
</t>
        </r>
        <r>
          <rPr>
            <b/>
            <sz val="9"/>
            <color indexed="81"/>
            <rFont val="Tahoma"/>
            <family val="2"/>
          </rPr>
          <t xml:space="preserve">
dans le l'organisation jusqu'à présent cette procédure n'est pas encore rédigée voir le gestionnaire des doc &amp; PMO</t>
        </r>
        <r>
          <rPr>
            <sz val="9"/>
            <color indexed="81"/>
            <rFont val="Tahoma"/>
            <charset val="1"/>
          </rPr>
          <t xml:space="preserve">
</t>
        </r>
      </text>
    </comment>
    <comment ref="B25" authorId="0" shapeId="0" xr:uid="{91486012-525F-442A-B318-D418DBC8DBE6}">
      <text>
        <r>
          <rPr>
            <b/>
            <sz val="9"/>
            <color indexed="81"/>
            <rFont val="Tahoma"/>
            <family val="2"/>
          </rPr>
          <t xml:space="preserve">Note : pour établir la criticité, il peut y avoir un trosième critère, qui est la capacité (ou non) à détecter les problèmes.
Le 3iem critere </t>
        </r>
      </text>
    </comment>
    <comment ref="B31" authorId="0" shapeId="0" xr:uid="{31912069-2C73-4107-BFC9-229D0D3E5685}">
      <text>
        <r>
          <rPr>
            <b/>
            <sz val="9"/>
            <color indexed="81"/>
            <rFont val="Tahoma"/>
            <charset val="1"/>
          </rPr>
          <t xml:space="preserve">Y-a-t-il une procédure de management du risque qui détaille davantage cette gestion du 
risque?
Note : décrire comment le risque peut être géré (réduit, supprimé), mais aussi transféré.
</t>
        </r>
        <r>
          <rPr>
            <sz val="9"/>
            <color indexed="81"/>
            <rFont val="Tahoma"/>
            <charset val="1"/>
          </rPr>
          <t xml:space="preserve">
Cf. série des ISO 31000 sur le management du risque et ISO 19600 sur la management de la compliance.
</t>
        </r>
        <r>
          <rPr>
            <b/>
            <sz val="9"/>
            <color indexed="81"/>
            <rFont val="Tahoma"/>
            <family val="2"/>
          </rPr>
          <t xml:space="preserve">
dans le l'organisation jusqu'à présent cette procédure n'est pas encore rédigée voir le gestionnaire des doc &amp; PMO</t>
        </r>
        <r>
          <rPr>
            <sz val="9"/>
            <color indexed="81"/>
            <rFont val="Tahoma"/>
            <charset val="1"/>
          </rPr>
          <t xml:space="preserve">
</t>
        </r>
      </text>
    </comment>
    <comment ref="B32" authorId="0" shapeId="0" xr:uid="{DE56154E-757D-4F94-A344-7123ED40E2D3}">
      <text>
        <r>
          <rPr>
            <b/>
            <sz val="9"/>
            <color indexed="81"/>
            <rFont val="Tahoma"/>
            <family val="2"/>
          </rPr>
          <t xml:space="preserve">Note : pour établir la criticité, il peut y avoir un trosième critère, qui est la capacité (ou non) à détecter les problèmes.
Le 3iem critere </t>
        </r>
      </text>
    </comment>
    <comment ref="B39" authorId="0" shapeId="0" xr:uid="{50DA6517-49E8-415B-BBD5-67ACA3600F35}">
      <text>
        <r>
          <rPr>
            <b/>
            <sz val="9"/>
            <color indexed="81"/>
            <rFont val="Tahoma"/>
            <charset val="1"/>
          </rPr>
          <t>A partir de quelle criticité considère-t-on que le risque est inacceptable et doit faire l'objet d'un traitement?</t>
        </r>
      </text>
    </comment>
    <comment ref="B43" authorId="0" shapeId="0" xr:uid="{7F1F2A6E-C587-4659-BC4F-CC4E4118B1C9}">
      <text>
        <r>
          <rPr>
            <b/>
            <sz val="9"/>
            <color indexed="81"/>
            <rFont val="Tahoma"/>
            <charset val="1"/>
          </rPr>
          <t>Qui est en charge de la gestion des risques et de ce fichier?</t>
        </r>
        <r>
          <rPr>
            <sz val="9"/>
            <color indexed="81"/>
            <rFont val="Tahoma"/>
            <charset val="1"/>
          </rPr>
          <t xml:space="preserve">
Périodicité de revue?</t>
        </r>
      </text>
    </comment>
    <comment ref="A47" authorId="0" shapeId="0" xr:uid="{90E5018F-CADB-4CAA-A246-3C4708DC93FC}">
      <text>
        <r>
          <rPr>
            <b/>
            <sz val="9"/>
            <color indexed="81"/>
            <rFont val="Tahoma"/>
            <family val="2"/>
          </rPr>
          <t>Pourquoi l'ordre des numéros n'est-il pas un ordre logique?</t>
        </r>
        <r>
          <rPr>
            <sz val="9"/>
            <color indexed="81"/>
            <rFont val="Tahoma"/>
            <family val="2"/>
          </rPr>
          <t xml:space="preserve">
</t>
        </r>
      </text>
    </comment>
    <comment ref="M47" authorId="0" shapeId="0" xr:uid="{281DF7DE-5B5B-47D4-844C-4A8C696CB89E}">
      <text>
        <r>
          <rPr>
            <sz val="9"/>
            <color indexed="81"/>
            <rFont val="Tahoma"/>
            <charset val="1"/>
          </rPr>
          <t xml:space="preserve">Il manque des colonnes permettant la mîtrise du risque.
En sus de la maîtrise du risque de par les actions existantes, il convient d'ajouter les points suivants :
- Actions à mener pour diminuer le risque,
- Date de fin prévisionnelle,
- % avancement,
- Date de clôture de l'action,
- Efficacité de l'action et mesure d'efficacité.
Si l'action menée n'est pas efficace, une nouvelle action doit être menée et tracée.
</t>
        </r>
      </text>
    </comment>
    <comment ref="C48" authorId="0" shapeId="0" xr:uid="{70F6AF6D-2A80-4305-AE86-8A671D6637E6}">
      <text>
        <r>
          <rPr>
            <sz val="9"/>
            <color indexed="81"/>
            <rFont val="Tahoma"/>
            <charset val="1"/>
          </rPr>
          <t xml:space="preserve">'Manque de communication" et "Pas de communication" ne sont-ils pas deux risques différents?
Leurs impacts et leur criticiité n'est-elle pas différente?
A méditer.
</t>
        </r>
      </text>
    </comment>
    <comment ref="E48" authorId="0" shapeId="0" xr:uid="{639C80D8-14B4-4019-A271-7D3E9CAB065A}">
      <text>
        <r>
          <rPr>
            <b/>
            <sz val="9"/>
            <color indexed="81"/>
            <rFont val="Tahoma"/>
            <charset val="1"/>
          </rPr>
          <t>Quelles peuvent être les conséquences financières pour l'organisation?</t>
        </r>
        <r>
          <rPr>
            <sz val="9"/>
            <color indexed="81"/>
            <rFont val="Tahoma"/>
            <charset val="1"/>
          </rPr>
          <t xml:space="preserve">
</t>
        </r>
      </text>
    </comment>
    <comment ref="M48" authorId="0" shapeId="0" xr:uid="{ADE93B25-211F-48E1-89E5-7AA2508D72F7}">
      <text>
        <r>
          <rPr>
            <b/>
            <sz val="9"/>
            <color indexed="81"/>
            <rFont val="Tahoma"/>
            <charset val="1"/>
          </rPr>
          <t>Ne pas oublier que le projet vit et que si des risques sont maîtrisés ou disparaissent, d'autres évoluent ou apparaissent.</t>
        </r>
        <r>
          <rPr>
            <sz val="9"/>
            <color indexed="81"/>
            <rFont val="Tahoma"/>
            <charset val="1"/>
          </rPr>
          <t xml:space="preserve">
Il conviendrait d'ajouter au document une page servant de notice d'utilisation et précisant notamment ces points.</t>
        </r>
      </text>
    </comment>
    <comment ref="E49" authorId="0" shapeId="0" xr:uid="{55D54391-49E5-4CEA-BAEA-9813AE4995DE}">
      <text>
        <r>
          <rPr>
            <b/>
            <sz val="9"/>
            <color indexed="81"/>
            <rFont val="Tahoma"/>
            <family val="2"/>
          </rPr>
          <t>Risque juridique?</t>
        </r>
      </text>
    </comment>
    <comment ref="M49" authorId="0" shapeId="0" xr:uid="{5DB1817A-3C71-4482-81CD-FBD9EED966BE}">
      <text>
        <r>
          <rPr>
            <b/>
            <sz val="9"/>
            <color indexed="81"/>
            <rFont val="Tahoma"/>
            <family val="2"/>
          </rPr>
          <t>Détailler :
les risques financiers sont également maîtrisés en amont du cost control par la tenue du planning, ce qui permet d'éviter les dérives.
Pour ce qui concerne les ressources, elles doivent être ad"quates si l'on veut éviter les dérives de planning.
Il y a donc un recensement via la matrice des compétences.
Si le périmètre du projet change, il est nécessaire d'établir des avenants afin de maîtriser l'aspect financier. Cf. Rôle du PMO en appui du Chef de Projet.
Pour rappel, le Chef de Projet conduit le projet, le PMO est en chage de la gestion contractuelle.</t>
        </r>
      </text>
    </comment>
    <comment ref="D50" authorId="0" shapeId="0" xr:uid="{EAFF7AB7-87CC-45D5-84A2-4A759013534A}">
      <text>
        <r>
          <rPr>
            <b/>
            <sz val="9"/>
            <color indexed="81"/>
            <rFont val="Tahoma"/>
            <family val="2"/>
          </rPr>
          <t>Ne pas oublier le problème principal qui est la rigueur / l'absence de contrôle croisé.</t>
        </r>
        <r>
          <rPr>
            <sz val="9"/>
            <color indexed="81"/>
            <rFont val="Tahoma"/>
            <family val="2"/>
          </rPr>
          <t xml:space="preserve">
</t>
        </r>
      </text>
    </comment>
    <comment ref="M50" authorId="0" shapeId="0" xr:uid="{B348D835-219C-4B9D-95F6-83F1D5E26A2B}">
      <text>
        <r>
          <rPr>
            <b/>
            <sz val="9"/>
            <color indexed="81"/>
            <rFont val="Tahoma"/>
            <family val="2"/>
          </rPr>
          <t>Cela rentre dans la définition des rites de management, qui doivent être précisés dans le planq ualité du projet.
Définir dans la matrice des compétences la focntion de vérification et celle de validation.</t>
        </r>
        <r>
          <rPr>
            <sz val="9"/>
            <color indexed="81"/>
            <rFont val="Tahoma"/>
            <family val="2"/>
          </rPr>
          <t xml:space="preserve">
Passe également par une planification journalière des tâches par le Chef de Projet.</t>
        </r>
      </text>
    </comment>
    <comment ref="E52" authorId="0" shapeId="0" xr:uid="{381E742D-E400-479F-8A06-B03999565CDC}">
      <text>
        <r>
          <rPr>
            <b/>
            <sz val="9"/>
            <color indexed="81"/>
            <rFont val="Tahoma"/>
            <family val="2"/>
          </rPr>
          <t>Impacts financiers, juridiques, etc.?</t>
        </r>
      </text>
    </comment>
    <comment ref="I52" authorId="0" shapeId="0" xr:uid="{BDB76AF5-F14E-4D0E-85B9-708C7DA0D6F8}">
      <text>
        <r>
          <rPr>
            <b/>
            <sz val="9"/>
            <color indexed="81"/>
            <rFont val="Tahoma"/>
            <charset val="1"/>
          </rPr>
          <t>Que fait-on pour réduire ce risque?</t>
        </r>
        <r>
          <rPr>
            <sz val="9"/>
            <color indexed="81"/>
            <rFont val="Tahoma"/>
            <charset val="1"/>
          </rPr>
          <t xml:space="preserve">
</t>
        </r>
      </text>
    </comment>
    <comment ref="M52" authorId="0" shapeId="0" xr:uid="{8AA0C1B2-96B9-499A-982A-F1B19B7C8519}">
      <text>
        <r>
          <rPr>
            <b/>
            <sz val="9"/>
            <color indexed="81"/>
            <rFont val="Tahoma"/>
            <family val="2"/>
          </rPr>
          <t>Il manque les points suivants :
- Etablissement d'un planning,
- Suivi du planning et des dérives éventuelles,
- Mise en place d'une procédure de respect des délais,
- Information du client en cas de retard et permutation de certaines opérations afin de limiter l'impact sur le délai, en accord avec le client si requis,
- Le cas échéant, ouverture d'une fiche d'écart et utilisation du REX suite à traitement des actions,
- Affectaction de ressources adéquates et compétences, critères de sélection selon matrice de coméptences,
- etc.</t>
        </r>
      </text>
    </comment>
    <comment ref="AB52" authorId="0" shapeId="0" xr:uid="{94838E1D-12EB-4201-8B61-9AE368338DE0}">
      <text>
        <r>
          <rPr>
            <b/>
            <sz val="9"/>
            <color indexed="81"/>
            <rFont val="Tahoma"/>
            <charset val="1"/>
          </rPr>
          <t>Que fait-on pour réduire ce risque?</t>
        </r>
        <r>
          <rPr>
            <sz val="9"/>
            <color indexed="81"/>
            <rFont val="Tahoma"/>
            <charset val="1"/>
          </rPr>
          <t xml:space="preserve">
</t>
        </r>
      </text>
    </comment>
    <comment ref="M53" authorId="0" shapeId="0" xr:uid="{4ABB9846-1F52-4BC0-B1C3-9350DC2BFC99}">
      <text>
        <r>
          <rPr>
            <b/>
            <sz val="9"/>
            <color indexed="81"/>
            <rFont val="Tahoma"/>
            <family val="2"/>
          </rPr>
          <t>- Matrice des compéténces.
- Organigramme avec définition des postes clés du projet et des redondances (= back-up).
- Organisation du planning et des congés (qui valide les CP / qui est présent, qui est absent, etc.).</t>
        </r>
      </text>
    </comment>
    <comment ref="M54" authorId="0" shapeId="0" xr:uid="{6D3F6C83-9D62-43E1-A6D8-DCEE2BDDBB96}">
      <text>
        <r>
          <rPr>
            <b/>
            <sz val="9"/>
            <color indexed="81"/>
            <rFont val="Tahoma"/>
            <family val="2"/>
          </rPr>
          <t>- Ecoute du besoin.
- Mise en place de réunions (techniques, suivi, etc.).
- Formations nécessaires?</t>
        </r>
        <r>
          <rPr>
            <sz val="9"/>
            <color indexed="81"/>
            <rFont val="Tahoma"/>
            <family val="2"/>
          </rPr>
          <t xml:space="preserve">
Avoir de bonnes relations n'est pas une action suffisante en soi pour maîtriser le risque, c'est trop abscons.</t>
        </r>
      </text>
    </comment>
    <comment ref="M55" authorId="0" shapeId="0" xr:uid="{3732C386-9C24-4600-8D6B-174EDECE8B2D}">
      <text>
        <r>
          <rPr>
            <b/>
            <sz val="9"/>
            <color indexed="81"/>
            <rFont val="Tahoma"/>
            <family val="2"/>
          </rPr>
          <t>- Mise en place d'une procédure de maîtrise des informations documentées : du besoin en création à la destruction des documents, définition de l'identification et de l'indiçage.
Définition des rédacteurs, vérificateurs, approbateurs.
- Sensibilisation des équipes au respect des dispositions de cette procédure.
- Mesure de l'impact RGPD (à développer).</t>
        </r>
      </text>
    </comment>
    <comment ref="I56" authorId="0" shapeId="0" xr:uid="{413A8EBE-1D77-4BB6-8A5B-05B6B6290DAF}">
      <text>
        <r>
          <rPr>
            <b/>
            <sz val="9"/>
            <color indexed="81"/>
            <rFont val="Tahoma"/>
            <charset val="1"/>
          </rPr>
          <t>Que fait-on pour réduire ce risque?</t>
        </r>
        <r>
          <rPr>
            <sz val="9"/>
            <color indexed="81"/>
            <rFont val="Tahoma"/>
            <charset val="1"/>
          </rPr>
          <t xml:space="preserve">
</t>
        </r>
      </text>
    </comment>
    <comment ref="M56" authorId="0" shapeId="0" xr:uid="{13E815B4-E17C-4547-A0DE-374ECF35A79A}">
      <text>
        <r>
          <rPr>
            <b/>
            <sz val="9"/>
            <color indexed="81"/>
            <rFont val="Tahoma"/>
            <family val="2"/>
          </rPr>
          <t>Et en amont, établissement et vérification du budget.
Passage en Comité pour validation.</t>
        </r>
        <r>
          <rPr>
            <sz val="9"/>
            <color indexed="81"/>
            <rFont val="Tahoma"/>
            <family val="2"/>
          </rPr>
          <t xml:space="preserve">
</t>
        </r>
      </text>
    </comment>
    <comment ref="AB56" authorId="0" shapeId="0" xr:uid="{9D915B8E-250A-463C-92EC-A26A99473AE9}">
      <text>
        <r>
          <rPr>
            <b/>
            <sz val="9"/>
            <color indexed="81"/>
            <rFont val="Tahoma"/>
            <charset val="1"/>
          </rPr>
          <t>Que fait-on pour réduire ce risque?</t>
        </r>
        <r>
          <rPr>
            <sz val="9"/>
            <color indexed="81"/>
            <rFont val="Tahoma"/>
            <charset val="1"/>
          </rPr>
          <t xml:space="preserve">
</t>
        </r>
      </text>
    </comment>
    <comment ref="C57" authorId="1" shapeId="0" xr:uid="{B97606F1-4B51-4EA2-852F-09C8E2202F55}">
      <text>
        <t>[Threaded comment]
Your version of Excel allows you to read this threaded comment; however, any edits to it will get removed if the file is opened in a newer version of Excel. Learn more: https://go.microsoft.com/fwlink/?linkid=870924
Comment:
    How is it different from "R3 lack/wrong input on the timesheet" ?</t>
      </text>
    </comment>
    <comment ref="M57" authorId="0" shapeId="0" xr:uid="{B26E04D7-3C5C-45BD-954C-6DD6DFEB279C}">
      <text>
        <r>
          <rPr>
            <b/>
            <sz val="9"/>
            <color indexed="81"/>
            <rFont val="Tahoma"/>
            <family val="2"/>
          </rPr>
          <t>- Suivi financier mensuel du projet. Comparaison entre les heures consommées et le reste à faire, entre le coefficient de gestion prévisionnel et le réel.
- Suivi de la courbe en S afin de mesure la valeur acquise du projet.
- Suivi de la VMO (Valorisation Main d'Œuvre).
- Alerte sur les dérives du projet si concerné.
- Vérification de la ventilation des heures selon les tâches à effectuer afin d'identifier les facteurs de non-productivité et de les traiter.</t>
        </r>
      </text>
    </comment>
    <comment ref="M58" authorId="0" shapeId="0" xr:uid="{0A66AAE7-E6C9-429C-89E1-FCC8FC37BE78}">
      <text>
        <r>
          <rPr>
            <b/>
            <sz val="9"/>
            <color indexed="81"/>
            <rFont val="Tahoma"/>
            <family val="2"/>
          </rPr>
          <t>Dans ce cas, il s'agit plutôt de suivre les équipes dans leur quotidien, d'organiser des morning meetings, etc.
L'absentéisme subi est un indicateur de santé au travail.
Pour l'absentéisme non subi (congés), la gestion se fait via le planning des congés, la définition des postes clés et des redondances.</t>
        </r>
        <r>
          <rPr>
            <sz val="9"/>
            <color indexed="81"/>
            <rFont val="Tahoma"/>
            <family val="2"/>
          </rPr>
          <t xml:space="preserve">
</t>
        </r>
      </text>
    </comment>
    <comment ref="M59" authorId="0" shapeId="0" xr:uid="{D33CB967-DBD9-46A6-AC85-7AFCC5DB185C}">
      <text>
        <r>
          <rPr>
            <b/>
            <sz val="9"/>
            <color indexed="81"/>
            <rFont val="Tahoma"/>
            <family val="2"/>
          </rPr>
          <t>Voir plus haut et en cas de départ, ajouter la capacité à recruter pour compenser les départs.</t>
        </r>
        <r>
          <rPr>
            <sz val="9"/>
            <color indexed="81"/>
            <rFont val="Tahoma"/>
            <family val="2"/>
          </rPr>
          <t xml:space="preserve">
</t>
        </r>
      </text>
    </comment>
    <comment ref="M60" authorId="0" shapeId="0" xr:uid="{A55F9C24-36DA-4C76-BFAF-1748D1B5AB3E}">
      <text>
        <r>
          <rPr>
            <b/>
            <sz val="9"/>
            <color indexed="81"/>
            <rFont val="Tahoma"/>
            <family val="2"/>
          </rPr>
          <t>Vori plus haut</t>
        </r>
      </text>
    </comment>
    <comment ref="M61" authorId="0" shapeId="0" xr:uid="{544FB24D-704A-4E40-8312-4305EDEBBB6C}">
      <text>
        <r>
          <rPr>
            <b/>
            <sz val="9"/>
            <color indexed="81"/>
            <rFont val="Tahoma"/>
            <family val="2"/>
          </rPr>
          <t>Mise en place d'un accompagnement à la gestion du changement.
- Définition des supports de formation.
- Définition du mode d'accompagenement.
- Mesure in fine des résultats obtenus.
Ce point doit être valorisé dès l'offre commerciale.</t>
        </r>
      </text>
    </comment>
    <comment ref="E62" authorId="0" shapeId="0" xr:uid="{CB708147-9A3E-46A3-9B22-5A2A4A2F6483}">
      <text>
        <r>
          <rPr>
            <b/>
            <sz val="9"/>
            <color indexed="81"/>
            <rFont val="Tahoma"/>
            <charset val="1"/>
          </rPr>
          <t>Et financier, juridique, etc.
Cela est valable pour un certain nombre de risques mentionnés</t>
        </r>
      </text>
    </comment>
    <comment ref="L62" authorId="0" shapeId="0" xr:uid="{C260773F-4D48-40E2-9506-EEA46D4BC74D}">
      <text>
        <r>
          <rPr>
            <b/>
            <sz val="9"/>
            <color indexed="81"/>
            <rFont val="Tahoma"/>
            <charset val="1"/>
          </rPr>
          <t>CASE J47 :
Comment sélectionne-t-on et suit-on les fournisseurs de manière à garantir les délais?
Comment informe-t-on les fournisseurs des exigences en termes de délais?
Comment évalue-t-on les fournisseurs?
Le REX effectué sur projet permet-il d'optimiser le panel, afin d'accroître notre satisfaction et donc celle du client?</t>
        </r>
        <r>
          <rPr>
            <sz val="9"/>
            <color indexed="81"/>
            <rFont val="Tahoma"/>
            <charset val="1"/>
          </rPr>
          <t xml:space="preserve">
</t>
        </r>
      </text>
    </comment>
    <comment ref="M62" authorId="0" shapeId="0" xr:uid="{971896BE-6FA3-49BD-9D08-3C42A8ED5857}">
      <text>
        <r>
          <rPr>
            <b/>
            <sz val="9"/>
            <color indexed="81"/>
            <rFont val="Tahoma"/>
            <family val="2"/>
          </rPr>
          <t>C'est le travail du planner.
Qui assure cette fonction au sein du projet?</t>
        </r>
      </text>
    </comment>
    <comment ref="M64" authorId="0" shapeId="0" xr:uid="{229BC0AE-EEDD-4DE4-9B5E-8C66347648A9}">
      <text>
        <r>
          <rPr>
            <b/>
            <sz val="9"/>
            <color indexed="81"/>
            <rFont val="Tahoma"/>
            <family val="2"/>
          </rPr>
          <t>Et si cela a un impact sur le délai contractuel, informer le donneur d'ordres client et ouvrir un constat d'aléa à lui soumettre pour prise en compte des frais de mobilisation /démobilisation des équipes projet.</t>
        </r>
      </text>
    </comment>
    <comment ref="L65" authorId="0" shapeId="0" xr:uid="{089DE2E8-A75B-4B85-BA9A-DDC3F53D53F8}">
      <text>
        <r>
          <rPr>
            <b/>
            <sz val="9"/>
            <color indexed="81"/>
            <rFont val="Tahoma"/>
            <charset val="1"/>
          </rPr>
          <t>Ne pas oublier de faire signer le PV d'essai par le client afin d'attester de la conformité aux exigences.</t>
        </r>
      </text>
    </comment>
    <comment ref="M65" authorId="0" shapeId="0" xr:uid="{C8DBA84C-1429-4D99-A8F7-F6D039970561}">
      <text>
        <r>
          <rPr>
            <b/>
            <sz val="9"/>
            <color indexed="81"/>
            <rFont val="Tahoma"/>
            <family val="2"/>
          </rPr>
          <t>Cf. supra.</t>
        </r>
      </text>
    </comment>
    <comment ref="M66" authorId="0" shapeId="0" xr:uid="{5E6FBAD9-9169-4C21-A1B1-EE28FC6A5430}">
      <text>
        <r>
          <rPr>
            <sz val="9"/>
            <color indexed="81"/>
            <rFont val="Tahoma"/>
            <charset val="1"/>
          </rPr>
          <t>-Etablir avec le client son besoin
-Définir le programme de formation
- Réaliser le support de formation / Faire valider au client
- Voir pour prise en compte par les OPCO
- Kit formation : support de formation, scenario pédagogique, fiche de présence, test final, évaluation à chaud, évaluation à froid.
- Réaliser la formation</t>
        </r>
      </text>
    </comment>
    <comment ref="E67" authorId="0" shapeId="0" xr:uid="{EAD07399-7963-4F8D-B952-D42EDA855928}">
      <text>
        <r>
          <rPr>
            <b/>
            <sz val="9"/>
            <color indexed="81"/>
            <rFont val="Tahoma"/>
            <charset val="1"/>
          </rPr>
          <t>Ajouter le risque juridique ppour non-respect des clauses contractuelles.
Il y a également le risque que des prestations non prévues initiaielement soient ajoutées par le client au fil du projet.</t>
        </r>
      </text>
    </comment>
    <comment ref="M67" authorId="0" shapeId="0" xr:uid="{C75CACF7-2914-471E-AA37-0814B85DF105}">
      <text>
        <r>
          <rPr>
            <b/>
            <sz val="9"/>
            <color indexed="81"/>
            <rFont val="Tahoma"/>
            <charset val="1"/>
          </rPr>
          <t>Pour la réalisation : 
- Réalisation de la revue des exigences à l'appel d'offres
- Réalisation de la revue de commande 
- Réalisation de la réunion d'enclenchement
- Réalisation des réunions de pilotage du projet + réunions techniques
- Pour la partie financière : réaliser le suivi mensuel de la facturation
- Pour le suivi des avancements : courbe en S et suivi du planning
- Pour la qualité : vérification / validation des livrables et des opérations par le Chef de Projet</t>
        </r>
      </text>
    </comment>
    <comment ref="C69" authorId="2" shapeId="0" xr:uid="{7AD4306B-BD6E-41F4-AC3C-C3A209DAB1CA}">
      <text>
        <t>[Threaded comment]
Your version of Excel allows you to read this threaded comment; however, any edits to it will get removed if the file is opened in a newer version of Excel. Learn more: https://go.microsoft.com/fwlink/?linkid=870924
Comment:
    How is it different from R17 and R18?</t>
      </text>
    </comment>
    <comment ref="M69" authorId="0" shapeId="0" xr:uid="{90B48ACC-EA46-4489-972A-48853F2AAABC}">
      <text>
        <r>
          <rPr>
            <sz val="9"/>
            <color indexed="81"/>
            <rFont val="Tahoma"/>
            <charset val="1"/>
          </rPr>
          <t xml:space="preserve">- Intérêt des utilisateurs : développer l'appétence via les méthodes de gestion du changement mises en œuvre.
- Conflits de tâches : gestion du planning.
- Tests incomplets : faire un plan de test incluant les essais à réaliser, les fonctionnalités vérifiées, les dates prévisionnelles, etc.
Si écart, ouverture d'une fiche de non-conformité avec investigation des causes fondamentales du problème. pour en maîtriser les délais de résolution, lancer une démarche QRQC.
- Difficultés techniques : gérer les difficultés techniques par des réunions internes, des réunions avec le client, etc. Formaliser les questions et difficultés pouvant nuire au projet sous la forme d'une main courante, de manière à remonter les attentes/réponses envers le client et faciliter le traitement des actions par le Chef de Projet.
- Qualité : éviter les non-qualités par la gestion du planning de réalisation, les vérifications et validations avant essai.
</t>
        </r>
      </text>
    </comment>
    <comment ref="B70" authorId="0" shapeId="0" xr:uid="{5EFCD97F-1A8F-4761-8928-7108FA55F1A4}">
      <text>
        <r>
          <rPr>
            <b/>
            <sz val="9"/>
            <color indexed="81"/>
            <rFont val="Tahoma"/>
            <family val="2"/>
          </rPr>
          <t>Ne pas oublier le risque de ne pas comprendre les enjeux du projet, dont la maîtrise passe par : 
- L'écoute client lors de la définition du besoin,
- La réalisation de la revue des exigences à l'appel d'offre puis à la commande,
- La réalisation de la revue de lancement,
- La réalisation de réunions de suivi du projet, technique, etc., soit avec le client, soit au sein de l'équipe projet.</t>
        </r>
      </text>
    </comment>
    <comment ref="B71" authorId="0" shapeId="0" xr:uid="{BDE66370-A8F5-4BB0-937B-A86FF6717E51}">
      <text>
        <r>
          <rPr>
            <b/>
            <sz val="9"/>
            <color indexed="81"/>
            <rFont val="Tahoma"/>
            <charset val="1"/>
          </rPr>
          <t>Y-a-t-il un risque lié au déploiement de moyens financiers insuffisants?</t>
        </r>
        <r>
          <rPr>
            <sz val="9"/>
            <color indexed="81"/>
            <rFont val="Tahoma"/>
            <charset val="1"/>
          </rPr>
          <t xml:space="preserve">
</t>
        </r>
      </text>
    </comment>
    <comment ref="B72" authorId="0" shapeId="0" xr:uid="{56F73942-6F33-4720-B5B6-1E2D34CBB98F}">
      <text>
        <r>
          <rPr>
            <b/>
            <sz val="9"/>
            <color indexed="81"/>
            <rFont val="Tahoma"/>
            <charset val="1"/>
          </rPr>
          <t>Y-a-t-il un risque lié à la protection des données (fuite de données, piratage, etc.)?</t>
        </r>
      </text>
    </comment>
  </commentList>
</comments>
</file>

<file path=xl/sharedStrings.xml><?xml version="1.0" encoding="utf-8"?>
<sst xmlns="http://schemas.openxmlformats.org/spreadsheetml/2006/main" count="276" uniqueCount="185">
  <si>
    <t>SIGMA 360 PROJECT</t>
  </si>
  <si>
    <t>360-SAF-RISK_MATRIX-23Q3-TEAM-V1</t>
  </si>
  <si>
    <t>Responsible of Document : Atif SATIF</t>
  </si>
  <si>
    <t>Author : Atif SATIF 01/09/2023</t>
  </si>
  <si>
    <t>Last Update : Atif SATIF 28/09/2023, Etienne BERNOULI 28/09/2023</t>
  </si>
  <si>
    <t>Last Proofread : Etienne Bernouli 28/09/2023</t>
  </si>
  <si>
    <t>Validation :  Etienne Bernouli  28/09/2023</t>
  </si>
  <si>
    <t xml:space="preserve">Probability: the frequency of occurrence of this risk </t>
  </si>
  <si>
    <t>P</t>
  </si>
  <si>
    <t>Probability</t>
  </si>
  <si>
    <t xml:space="preserve">Definition </t>
  </si>
  <si>
    <t>Very rare</t>
  </si>
  <si>
    <t>Probably won't happen</t>
  </si>
  <si>
    <t xml:space="preserve">Rare </t>
  </si>
  <si>
    <t>Unlikely to occur</t>
  </si>
  <si>
    <t>Uncommon</t>
  </si>
  <si>
    <t>too likely to occur</t>
  </si>
  <si>
    <t>Frequent</t>
  </si>
  <si>
    <t>Will certainly happen</t>
  </si>
  <si>
    <t xml:space="preserve">Gravity: measuring the effects on incident's targets (more or less important consequences). </t>
  </si>
  <si>
    <t>G</t>
  </si>
  <si>
    <t>Gravity</t>
  </si>
  <si>
    <t>Minor</t>
  </si>
  <si>
    <t>Limited consequences</t>
  </si>
  <si>
    <t>Significative</t>
  </si>
  <si>
    <t>Visible damages</t>
  </si>
  <si>
    <t>Major</t>
  </si>
  <si>
    <t>Important damages</t>
  </si>
  <si>
    <t>Critical</t>
  </si>
  <si>
    <t>Irreversible damages</t>
  </si>
  <si>
    <t>Detectability  : the operational capacity of any organisational system to detect incoming risk.</t>
  </si>
  <si>
    <t>D</t>
  </si>
  <si>
    <t>Detectability</t>
  </si>
  <si>
    <t>Weak</t>
  </si>
  <si>
    <t>The risk will be easily detected thanks to the controls.</t>
  </si>
  <si>
    <t>Moderate</t>
  </si>
  <si>
    <t>There is a possibility that the risk will be detected with the controls in place.</t>
  </si>
  <si>
    <t>High</t>
  </si>
  <si>
    <t>Controls will have difficulty detecting the risk.</t>
  </si>
  <si>
    <t>Extreme</t>
  </si>
  <si>
    <t>No chance of detecting the risk, even with controls</t>
  </si>
  <si>
    <t>Criticality : Impact of gravity and frequency on the project</t>
  </si>
  <si>
    <t>C</t>
  </si>
  <si>
    <t>Criticality</t>
  </si>
  <si>
    <t>The impact is negligible and the situation is under control.</t>
  </si>
  <si>
    <t>The impact is limited and the situation needs to be monitored.</t>
  </si>
  <si>
    <t>The impact is significant and the situation gives cause for concern.</t>
  </si>
  <si>
    <t>The impact is critical/catastrophic and the situation is alarming.</t>
  </si>
  <si>
    <t>Calculation of criticality</t>
  </si>
  <si>
    <t>Probability x Gravity x Detectability  = Criticality</t>
  </si>
  <si>
    <t>1 =&gt; 4</t>
  </si>
  <si>
    <t>5 =&gt; 8</t>
  </si>
  <si>
    <t>9 =&gt; 12</t>
  </si>
  <si>
    <t>13 =&gt; 16</t>
  </si>
  <si>
    <t>Here is a rewording of the sentence:
All the comments presented were made by Lionel Rinaldi, who holds the position of quality expert within our organisation.</t>
  </si>
  <si>
    <t>ID</t>
  </si>
  <si>
    <t>Type of risk</t>
  </si>
  <si>
    <t>Description</t>
  </si>
  <si>
    <t>Origin of risk</t>
  </si>
  <si>
    <t>Risk consequences</t>
  </si>
  <si>
    <t>Person who identified the risk</t>
  </si>
  <si>
    <t>Person responsible for risk monitoring</t>
  </si>
  <si>
    <t>Challenges</t>
  </si>
  <si>
    <t>Risk mitigation</t>
  </si>
  <si>
    <t>R1</t>
  </si>
  <si>
    <t>Communication</t>
  </si>
  <si>
    <t>Neglect of external projects, lack of communication between different departments. No effective communication : the usability and timeliness of information that is either created or summarized by an application system.is the risk associated with not getting "the right data/information to the right person/process/system at the right time to allow the right action to be taken."</t>
  </si>
  <si>
    <t xml:space="preserve">Non-effective communication with relative stakeholders within the organizations we work with.    </t>
  </si>
  <si>
    <t xml:space="preserve">Lack of consistency between projects within the same organization. Collusions between projects. Confusion in messages to stakeholders.  </t>
  </si>
  <si>
    <t xml:space="preserve">Etienne </t>
  </si>
  <si>
    <t>Etienne (PMO)</t>
  </si>
  <si>
    <t>External</t>
  </si>
  <si>
    <t xml:space="preserve">Be aware of other ongoing projects, communicate the guidelines of our project to other project's managers and make every relevant person pay attention to the stakes of our project, and ourselves aware of other relevant projects. </t>
  </si>
  <si>
    <t>R2</t>
  </si>
  <si>
    <t>Financial</t>
  </si>
  <si>
    <t xml:space="preserve">Dwindling cash (Reduction in available cash). </t>
  </si>
  <si>
    <r>
      <rPr>
        <b/>
        <sz val="11"/>
        <color rgb="FF000000"/>
        <rFont val="Calibri"/>
        <scheme val="minor"/>
      </rPr>
      <t xml:space="preserve">Inadequate budgeting: </t>
    </r>
    <r>
      <rPr>
        <sz val="11"/>
        <color rgb="FF000000"/>
        <rFont val="Calibri"/>
        <scheme val="minor"/>
      </rPr>
      <t xml:space="preserve">If the implementation is not properly budgeted, it can lead to dwindling cash. This can happen if the costs of the implementation are underestimated or if there are unexpected expenses.
</t>
    </r>
    <r>
      <rPr>
        <b/>
        <sz val="11"/>
        <color rgb="FF000000"/>
        <rFont val="Calibri"/>
        <scheme val="minor"/>
      </rPr>
      <t>Changes in the scope of the project</t>
    </r>
    <r>
      <rPr>
        <sz val="11"/>
        <color rgb="FF000000"/>
        <rFont val="Calibri"/>
        <scheme val="minor"/>
      </rPr>
      <t xml:space="preserve">: If the scope of the project changes, it can lead to dwindling cash. This can happen if the project is expanded or if there are unforeseen challenges that need to be addressed.
</t>
    </r>
    <r>
      <rPr>
        <b/>
        <sz val="11"/>
        <color rgb="FF000000"/>
        <rFont val="Calibri"/>
        <scheme val="minor"/>
      </rPr>
      <t>Delays in the implementation</t>
    </r>
    <r>
      <rPr>
        <sz val="11"/>
        <color rgb="FF000000"/>
        <rFont val="Calibri"/>
        <scheme val="minor"/>
      </rPr>
      <t xml:space="preserve">: If the implementation is delayed, it can lead to dwindling cash. This can happen if there are problems with the vendor, if there are </t>
    </r>
    <r>
      <rPr>
        <b/>
        <sz val="11"/>
        <color rgb="FF000000"/>
        <rFont val="Calibri"/>
        <scheme val="minor"/>
      </rPr>
      <t>changes in the requirements</t>
    </r>
    <r>
      <rPr>
        <sz val="11"/>
        <color rgb="FF000000"/>
        <rFont val="Calibri"/>
        <scheme val="minor"/>
      </rPr>
      <t>, or if there are other unforeseen challenges.
Increased costs: There are other factors that can lead to dwindling cash, such as increased costs for training, support, or maintenance.</t>
    </r>
  </si>
  <si>
    <r>
      <rPr>
        <b/>
        <sz val="11"/>
        <color rgb="FF000000"/>
        <rFont val="Calibri"/>
        <scheme val="minor"/>
      </rPr>
      <t>Inability to complete the implementation</t>
    </r>
    <r>
      <rPr>
        <sz val="11"/>
        <color rgb="FF000000"/>
        <rFont val="Calibri"/>
        <scheme val="minor"/>
      </rPr>
      <t xml:space="preserve">: If the project runs out of cash, it may not be possible to complete the implementation. </t>
    </r>
    <r>
      <rPr>
        <b/>
        <sz val="11"/>
        <color rgb="FF000000"/>
        <rFont val="Calibri"/>
        <scheme val="minor"/>
      </rPr>
      <t>This can have a negative impact on the organization</t>
    </r>
    <r>
      <rPr>
        <sz val="11"/>
        <color rgb="FF000000"/>
        <rFont val="Calibri"/>
        <scheme val="minor"/>
      </rPr>
      <t xml:space="preserve">, as it may not be able to realize the benefits of the Salesforce solution.
Loss of momentum: If the implementation is delayed or halted, it can lose momentum. </t>
    </r>
    <r>
      <rPr>
        <b/>
        <sz val="11"/>
        <color rgb="FF000000"/>
        <rFont val="Calibri"/>
        <scheme val="minor"/>
      </rPr>
      <t>This can make it difficult to get back on track and can lead to further delays and cost overruns</t>
    </r>
    <r>
      <rPr>
        <sz val="11"/>
        <color rgb="FF000000"/>
        <rFont val="Calibri"/>
        <scheme val="minor"/>
      </rPr>
      <t xml:space="preserve">.
</t>
    </r>
    <r>
      <rPr>
        <b/>
        <sz val="11"/>
        <color rgb="FF000000"/>
        <rFont val="Calibri"/>
        <scheme val="minor"/>
      </rPr>
      <t xml:space="preserve">Damage to reputation: </t>
    </r>
    <r>
      <rPr>
        <sz val="11"/>
        <color rgb="FF000000"/>
        <rFont val="Calibri"/>
        <scheme val="minor"/>
      </rPr>
      <t xml:space="preserve">If the implementation is not successful, it can damage the organization's reputation. This can make it difficult to attract new customers or partners and can lead to lost business.
Financial hardship: If the project runs out of cash, it can put the organization in financial hardship. This can lead to layoffs, salary cuts, or even bankruptcy.
</t>
    </r>
  </si>
  <si>
    <t>Atif (QE)</t>
  </si>
  <si>
    <t>Paying attention to the use of the ressources, cost controlling.</t>
  </si>
  <si>
    <t>R3</t>
  </si>
  <si>
    <t>Human</t>
  </si>
  <si>
    <t xml:space="preserve">Lack/wrong input on the timesheet.  </t>
  </si>
  <si>
    <t>Too much pressure to end specific tasks so workers will prioritize the deliverables to time recording. The manager forget about keeping the timesheet update.</t>
  </si>
  <si>
    <t>Poor cost controlling, misevaluation of the project resources availables at a given time. Risk of failure if budget reevaluation in case of a prokect's delay.</t>
  </si>
  <si>
    <t>Internal</t>
  </si>
  <si>
    <t>HR team/PMO will verify timesheets. Asking consultants to take 5mn before the end of the work day, even if it is a rush session.</t>
  </si>
  <si>
    <t>R4</t>
  </si>
  <si>
    <t xml:space="preserve">Unavailability of cross-functional stakeholders </t>
  </si>
  <si>
    <t>Poor organization, anticipation, and planification of meeting with cross-functional stakeholders. Lack of project's overview, working with heads in the sand.</t>
  </si>
  <si>
    <t>Project is delayed, sub-optimization of worker's time and resources. Waste of resources and money.</t>
  </si>
  <si>
    <t>Staying aware of stakeholders' availability, anticipating our needs for their presence and planning meetings according to their minimum booking time.</t>
  </si>
  <si>
    <t>R5</t>
  </si>
  <si>
    <t xml:space="preserve">Unevenly distributed workload </t>
  </si>
  <si>
    <r>
      <rPr>
        <b/>
        <sz val="11"/>
        <color rgb="FF000000"/>
        <rFont val="Calibri"/>
        <scheme val="minor"/>
      </rPr>
      <t>Inadequate planning:</t>
    </r>
    <r>
      <rPr>
        <sz val="11"/>
        <color rgb="FF000000"/>
        <rFont val="Calibri"/>
        <scheme val="minor"/>
      </rPr>
      <t xml:space="preserve"> If the workload is not properly planned, it can lead to uneven distribution. This can happen if the workload is not evenly divided among the users or if the users are not properly trained on how to use the system.
</t>
    </r>
    <r>
      <rPr>
        <b/>
        <sz val="11"/>
        <color rgb="FF000000"/>
        <rFont val="Calibri"/>
        <scheme val="minor"/>
      </rPr>
      <t>Unrealistic expectations:</t>
    </r>
    <r>
      <rPr>
        <sz val="11"/>
        <color rgb="FF000000"/>
        <rFont val="Calibri"/>
        <scheme val="minor"/>
      </rPr>
      <t xml:space="preserve"> If the users have unrealistic expectations about the system, it can lead to uneven distribution. This can happen if the users expect the system to do more than it is capable of doing or if they do not understand how to use the system properly.
</t>
    </r>
    <r>
      <rPr>
        <b/>
        <sz val="11"/>
        <color rgb="FF000000"/>
        <rFont val="Calibri"/>
        <scheme val="minor"/>
      </rPr>
      <t xml:space="preserve">Insufficient resources: </t>
    </r>
    <r>
      <rPr>
        <sz val="11"/>
        <color rgb="FF000000"/>
        <rFont val="Calibri"/>
        <scheme val="minor"/>
      </rPr>
      <t xml:space="preserve">If there are not enough resources available to support the workload, it can lead to uneven distribution. This can happen if there are not enough users, not enough computers, or not enough training.
</t>
    </r>
    <r>
      <rPr>
        <b/>
        <sz val="11"/>
        <color rgb="FF000000"/>
        <rFont val="Calibri"/>
        <scheme val="minor"/>
      </rPr>
      <t>Technical problems:</t>
    </r>
    <r>
      <rPr>
        <sz val="11"/>
        <color rgb="FF000000"/>
        <rFont val="Calibri"/>
        <scheme val="minor"/>
      </rPr>
      <t xml:space="preserve"> Technical problems can also lead to uneven distribution. This can happen if the system is not properly configured or if there are hardware or software problems.</t>
    </r>
  </si>
  <si>
    <t>delay project</t>
  </si>
  <si>
    <t>PMO will verify workload have been distributed evenly</t>
  </si>
  <si>
    <t>R6</t>
  </si>
  <si>
    <t xml:space="preserve">Poor division of labour according to competencies  </t>
  </si>
  <si>
    <t>Poor knowledge of the profile of team members, wrong evaluation</t>
  </si>
  <si>
    <t>Longer project progress and with potentially more errors</t>
  </si>
  <si>
    <t>PMO/Project Manager will assign the work based on the competences</t>
  </si>
  <si>
    <t>R7</t>
  </si>
  <si>
    <t xml:space="preserve">Lack of Implication of key-users on the project </t>
  </si>
  <si>
    <r>
      <rPr>
        <b/>
        <sz val="11"/>
        <color rgb="FF000000"/>
        <rFont val="Calibri"/>
        <scheme val="minor"/>
      </rPr>
      <t>Lack of communication</t>
    </r>
    <r>
      <rPr>
        <sz val="11"/>
        <color rgb="FF000000"/>
        <rFont val="Calibri"/>
        <scheme val="minor"/>
      </rPr>
      <t xml:space="preserve">: Key users may not be kept informed about the progress of the implementation or about the changes that are being made to the system.
Unrealistic expectations: Key users may have unrealistic expectations about the capabilities of the system or about the time and resources that will be required for the implementation.
</t>
    </r>
    <r>
      <rPr>
        <b/>
        <sz val="11"/>
        <color rgb="FF000000"/>
        <rFont val="Calibri"/>
        <scheme val="minor"/>
      </rPr>
      <t>Lack of trust</t>
    </r>
    <r>
      <rPr>
        <sz val="11"/>
        <color rgb="FF000000"/>
        <rFont val="Calibri"/>
        <scheme val="minor"/>
      </rPr>
      <t xml:space="preserve">: Key users may not trust the implementation team or the vendor.
Fear of change: Key users may be resistant to change and may not be willing to adopt a new system.
</t>
    </r>
    <r>
      <rPr>
        <b/>
        <sz val="11"/>
        <color rgb="FF000000"/>
        <rFont val="Calibri"/>
        <scheme val="minor"/>
      </rPr>
      <t>Lack of training</t>
    </r>
    <r>
      <rPr>
        <sz val="11"/>
        <color rgb="FF000000"/>
        <rFont val="Calibri"/>
        <scheme val="minor"/>
      </rPr>
      <t>: Key users may not be adequately trained on how to use the system.
Lack of empowerment: Key users may not feel empowered to participate in the implementation process.</t>
    </r>
  </si>
  <si>
    <r>
      <rPr>
        <b/>
        <sz val="11"/>
        <color rgb="FF000000"/>
        <rFont val="Calibri"/>
        <scheme val="minor"/>
      </rPr>
      <t>Poor adoption</t>
    </r>
    <r>
      <rPr>
        <sz val="11"/>
        <color rgb="FF000000"/>
        <rFont val="Calibri"/>
        <scheme val="minor"/>
      </rPr>
      <t xml:space="preserve">: Key users may be reluctant to adopt the new system, which can lead to low adoption rates and poor usage of the system.
Resistance to change: Key users may resist change, which can lead to delays and problems during the implementation.
</t>
    </r>
    <r>
      <rPr>
        <b/>
        <sz val="11"/>
        <color rgb="FF000000"/>
        <rFont val="Calibri"/>
        <scheme val="minor"/>
      </rPr>
      <t>Technical problems:</t>
    </r>
    <r>
      <rPr>
        <sz val="11"/>
        <color rgb="FF000000"/>
        <rFont val="Calibri"/>
        <scheme val="minor"/>
      </rPr>
      <t xml:space="preserve"> Key users may not be able to troubleshoot problems with the system, which can lead to downtime and productivity losses.
</t>
    </r>
    <r>
      <rPr>
        <b/>
        <sz val="11"/>
        <color rgb="FF000000"/>
        <rFont val="Calibri"/>
        <scheme val="minor"/>
      </rPr>
      <t>Poor user experience</t>
    </r>
    <r>
      <rPr>
        <sz val="11"/>
        <color rgb="FF000000"/>
        <rFont val="Calibri"/>
        <scheme val="minor"/>
      </rPr>
      <t xml:space="preserve">: Key users may not be happy with the user experience, which can lead to dissatisfaction and low productivity.
</t>
    </r>
    <r>
      <rPr>
        <b/>
        <sz val="11"/>
        <color rgb="FF000000"/>
        <rFont val="Calibri"/>
        <scheme val="minor"/>
      </rPr>
      <t>Failure of the implementation</t>
    </r>
    <r>
      <rPr>
        <sz val="11"/>
        <color rgb="FF000000"/>
        <rFont val="Calibri"/>
        <scheme val="minor"/>
      </rPr>
      <t>: In severe cases, the lack of implication of key-users can lead to the failure of the implementation.</t>
    </r>
  </si>
  <si>
    <t>Having good relationship with the key users</t>
  </si>
  <si>
    <t>R8</t>
  </si>
  <si>
    <t>Legal</t>
  </si>
  <si>
    <t>Non-respect of documents internal approbation procedure</t>
  </si>
  <si>
    <t>poor writing or understanding</t>
  </si>
  <si>
    <t xml:space="preserve">difficulty in identifying the document </t>
  </si>
  <si>
    <t>Samira (GED)</t>
  </si>
  <si>
    <t xml:space="preserve">Authentication of documents </t>
  </si>
  <si>
    <t>R9</t>
  </si>
  <si>
    <t>Additional cost of overruns (excess spending)</t>
  </si>
  <si>
    <t xml:space="preserve">wrong budget forecast </t>
  </si>
  <si>
    <t>profit less than the load</t>
  </si>
  <si>
    <t>Dedicated cost controllers to check the cost of overruns</t>
  </si>
  <si>
    <t>R10</t>
  </si>
  <si>
    <t xml:space="preserve">Project hours tracking </t>
  </si>
  <si>
    <t>input error or delay</t>
  </si>
  <si>
    <t>poor project cost assessment</t>
  </si>
  <si>
    <t>HR team/PMO will verify timesheets</t>
  </si>
  <si>
    <t>R11</t>
  </si>
  <si>
    <t xml:space="preserve">Absenteism due to overwork  </t>
  </si>
  <si>
    <r>
      <t>poor segregation of duties or poor workload assessment</t>
    </r>
    <r>
      <rPr>
        <b/>
        <sz val="11"/>
        <color rgb="FF000000"/>
        <rFont val="Calibri"/>
        <scheme val="minor"/>
      </rPr>
      <t xml:space="preserve"> </t>
    </r>
  </si>
  <si>
    <t>project shutdown, delay</t>
  </si>
  <si>
    <t>Etienne (PMO</t>
  </si>
  <si>
    <t>PMO will verify workload and competences of consultants</t>
  </si>
  <si>
    <t>R12</t>
  </si>
  <si>
    <t>Unplanned leaves</t>
  </si>
  <si>
    <t>illness, death</t>
  </si>
  <si>
    <t>Social management, not to overload employees with work</t>
  </si>
  <si>
    <t>R13</t>
  </si>
  <si>
    <t>lack of commitment to the project among workforce</t>
  </si>
  <si>
    <t>lack of person in charge of this task</t>
  </si>
  <si>
    <t>Social management, detecting in advance the level of potential investment of people</t>
  </si>
  <si>
    <t>R14</t>
  </si>
  <si>
    <t>Adapting to the new technologies - end users : Poorly anticipated organizational changes - The arrival of CRM can impact certain roles, processes and decision-making circuits. These changes need to be anticipated and supported.</t>
  </si>
  <si>
    <t xml:space="preserve">resistance to change and whole modifications </t>
  </si>
  <si>
    <t xml:space="preserve">non-acceptance of the solution </t>
  </si>
  <si>
    <t>Elisa (CM)</t>
  </si>
  <si>
    <t>Efficient training to be provided to the end users on the new technologies</t>
  </si>
  <si>
    <t>R15</t>
  </si>
  <si>
    <t>Partners and subcontractors</t>
  </si>
  <si>
    <t>Delay in Material reception</t>
  </si>
  <si>
    <t xml:space="preserve">poor choice of supplier </t>
  </si>
  <si>
    <t xml:space="preserve">delay in delivery of project to customer </t>
  </si>
  <si>
    <t>Mohamed (TE)</t>
  </si>
  <si>
    <t xml:space="preserve">Dedicated officer assigned for this task and planning in advance </t>
  </si>
  <si>
    <t>R16</t>
  </si>
  <si>
    <t>"Fait du prince "</t>
  </si>
  <si>
    <t>natural disaster</t>
  </si>
  <si>
    <t>Follow environnemental circumstances</t>
  </si>
  <si>
    <t>R17</t>
  </si>
  <si>
    <t>Unavailability of end users during UAT</t>
  </si>
  <si>
    <t>poor planning</t>
  </si>
  <si>
    <t>uat test backlog</t>
  </si>
  <si>
    <t>Having a backup plan: planning extra users</t>
  </si>
  <si>
    <t>R18</t>
  </si>
  <si>
    <t xml:space="preserve">Unavailability of key users during test  </t>
  </si>
  <si>
    <t>R19</t>
  </si>
  <si>
    <t>Inadequate training for the client</t>
  </si>
  <si>
    <t>Poor training planning
Lack of resources
Lack of user motivation</t>
  </si>
  <si>
    <t>Inefficient use of the Salesforce solution Increased support costs  A loss of confidence</t>
  </si>
  <si>
    <t>Olivier (TE)</t>
  </si>
  <si>
    <t>R20</t>
  </si>
  <si>
    <t>Legal / Quality</t>
  </si>
  <si>
    <t>Non respect of contract terms (delay of delivery, Quality of service, terms of payment) lead to legal issues</t>
  </si>
  <si>
    <r>
      <rPr>
        <b/>
        <sz val="11"/>
        <color rgb="FF000000"/>
        <rFont val="Calibri"/>
        <scheme val="minor"/>
      </rPr>
      <t>Delay in delivery</t>
    </r>
    <r>
      <rPr>
        <sz val="11"/>
        <color rgb="FF000000"/>
        <rFont val="Calibri"/>
        <scheme val="minor"/>
      </rPr>
      <t xml:space="preserve">: This can happen due to unforeseen circumstances, such as natural disasters or labor strikes. However, it can also be due to poor planning or lack of communication between the parties involved.
</t>
    </r>
    <r>
      <rPr>
        <b/>
        <sz val="11"/>
        <color rgb="FF000000"/>
        <rFont val="Calibri"/>
        <scheme val="minor"/>
      </rPr>
      <t>Poor quality of service</t>
    </r>
    <r>
      <rPr>
        <sz val="11"/>
        <color rgb="FF000000"/>
        <rFont val="Calibri"/>
        <scheme val="minor"/>
      </rPr>
      <t xml:space="preserve">: This can happen if the service provider does not have the necessary skills or experience, or if they do not follow the agreed-upon standards.
</t>
    </r>
    <r>
      <rPr>
        <b/>
        <sz val="11"/>
        <color rgb="FF000000"/>
        <rFont val="Calibri"/>
        <scheme val="minor"/>
      </rPr>
      <t>Non-payment</t>
    </r>
    <r>
      <rPr>
        <sz val="11"/>
        <color rgb="FF000000"/>
        <rFont val="Calibri"/>
        <scheme val="minor"/>
      </rPr>
      <t>: This can happen if the customer does not have the funds to pay, or if they are unhappy with the service they have received.</t>
    </r>
  </si>
  <si>
    <r>
      <rPr>
        <b/>
        <sz val="11"/>
        <color rgb="FF000000"/>
        <rFont val="Calibri"/>
        <scheme val="minor"/>
      </rPr>
      <t xml:space="preserve">Legal action: </t>
    </r>
    <r>
      <rPr>
        <sz val="11"/>
        <color rgb="FF000000"/>
        <rFont val="Calibri"/>
        <scheme val="minor"/>
      </rPr>
      <t xml:space="preserve">If one party breaches the contract, the other party may take legal action. This could result in damages, or even the termination of the contract.
</t>
    </r>
    <r>
      <rPr>
        <b/>
        <sz val="11"/>
        <color rgb="FF000000"/>
        <rFont val="Calibri"/>
        <scheme val="minor"/>
      </rPr>
      <t xml:space="preserve">Damage to reputation: </t>
    </r>
    <r>
      <rPr>
        <sz val="11"/>
        <color rgb="FF000000"/>
        <rFont val="Calibri"/>
        <scheme val="minor"/>
      </rPr>
      <t xml:space="preserve">A breach of contract can damage the reputation of both parties involved. This could make it difficult to get future business.
</t>
    </r>
    <r>
      <rPr>
        <b/>
        <sz val="11"/>
        <color rgb="FF000000"/>
        <rFont val="Calibri"/>
        <scheme val="minor"/>
      </rPr>
      <t xml:space="preserve">Financial loss: </t>
    </r>
    <r>
      <rPr>
        <sz val="11"/>
        <color rgb="FF000000"/>
        <rFont val="Calibri"/>
        <scheme val="minor"/>
      </rPr>
      <t xml:space="preserve">A breach of contract can lead to financial loss for both parties involved. This could include lost profits, legal fees, and other expenses.
</t>
    </r>
    <r>
      <rPr>
        <b/>
        <sz val="11"/>
        <color rgb="FF000000"/>
        <rFont val="Calibri"/>
        <scheme val="minor"/>
      </rPr>
      <t>Damage to relationships</t>
    </r>
    <r>
      <rPr>
        <sz val="11"/>
        <color rgb="FF000000"/>
        <rFont val="Calibri"/>
        <scheme val="minor"/>
      </rPr>
      <t>: A breach of contract can damage the relationships between the parties involved. This could make it difficult to work together in the future.</t>
    </r>
  </si>
  <si>
    <t>Scope meetings (sprint: regular deliverable )</t>
  </si>
  <si>
    <t>R21</t>
  </si>
  <si>
    <t>Technical and material means</t>
  </si>
  <si>
    <t>Error or failure during the update</t>
  </si>
  <si>
    <r>
      <rPr>
        <b/>
        <sz val="11"/>
        <color rgb="FF000000"/>
        <rFont val="Calibri"/>
        <scheme val="minor"/>
      </rPr>
      <t>Incompatible software:</t>
    </r>
    <r>
      <rPr>
        <sz val="11"/>
        <color rgb="FF000000"/>
        <rFont val="Calibri"/>
        <scheme val="minor"/>
      </rPr>
      <t xml:space="preserve"> If the update is not compatible with the software that is currently installed, it may fail.
</t>
    </r>
    <r>
      <rPr>
        <b/>
        <sz val="11"/>
        <color rgb="FF000000"/>
        <rFont val="Calibri"/>
        <scheme val="minor"/>
      </rPr>
      <t>Corrupted files:</t>
    </r>
    <r>
      <rPr>
        <sz val="11"/>
        <color rgb="FF000000"/>
        <rFont val="Calibri"/>
        <scheme val="minor"/>
      </rPr>
      <t xml:space="preserve"> If the update files are corrupted, they may not be able to be installed correctly.
</t>
    </r>
    <r>
      <rPr>
        <b/>
        <sz val="11"/>
        <color rgb="FF000000"/>
        <rFont val="Calibri"/>
        <scheme val="minor"/>
      </rPr>
      <t xml:space="preserve">Insufficient disk space: </t>
    </r>
    <r>
      <rPr>
        <sz val="11"/>
        <color rgb="FF000000"/>
        <rFont val="Calibri"/>
        <scheme val="minor"/>
      </rPr>
      <t xml:space="preserve">If there is not enough disk space available, the update may not be able to be installed.
</t>
    </r>
    <r>
      <rPr>
        <b/>
        <sz val="11"/>
        <color rgb="FF000000"/>
        <rFont val="Calibri"/>
        <scheme val="minor"/>
      </rPr>
      <t>Power outage:</t>
    </r>
    <r>
      <rPr>
        <sz val="11"/>
        <color rgb="FF000000"/>
        <rFont val="Calibri"/>
        <scheme val="minor"/>
      </rPr>
      <t xml:space="preserve"> If there is a power outage during the update, it may be interrupted and fail.
Human error: If the update is not installed correctly, it may fail.
</t>
    </r>
  </si>
  <si>
    <r>
      <rPr>
        <b/>
        <sz val="11"/>
        <color rgb="FF000000"/>
        <rFont val="Calibri"/>
        <scheme val="minor"/>
      </rPr>
      <t>Data loss:</t>
    </r>
    <r>
      <rPr>
        <sz val="11"/>
        <color rgb="FF000000"/>
        <rFont val="Calibri"/>
        <scheme val="minor"/>
      </rPr>
      <t xml:space="preserve"> If the update fails, it may cause data loss.
System instability: If the update fails, it may make the system unstable and cause other problems.
</t>
    </r>
    <r>
      <rPr>
        <b/>
        <sz val="11"/>
        <color rgb="FF000000"/>
        <rFont val="Calibri"/>
        <scheme val="minor"/>
      </rPr>
      <t>Security vulnerabilities</t>
    </r>
    <r>
      <rPr>
        <sz val="11"/>
        <color rgb="FF000000"/>
        <rFont val="Calibri"/>
        <scheme val="minor"/>
      </rPr>
      <t>: If the update fails, it may leave the system vulnerable to security attacks.</t>
    </r>
  </si>
  <si>
    <t>Data backup</t>
  </si>
  <si>
    <t>R22</t>
  </si>
  <si>
    <t>Quality</t>
  </si>
  <si>
    <t>Unavailability of end-users during the test phase</t>
  </si>
  <si>
    <r>
      <rPr>
        <sz val="11"/>
        <color rgb="FF000000"/>
        <rFont val="Calibri"/>
        <scheme val="minor"/>
      </rPr>
      <t xml:space="preserve">
</t>
    </r>
    <r>
      <rPr>
        <b/>
        <sz val="11"/>
        <color rgb="FF000000"/>
        <rFont val="Calibri"/>
        <scheme val="minor"/>
      </rPr>
      <t xml:space="preserve">Scheduling conflicts: </t>
    </r>
    <r>
      <rPr>
        <sz val="11"/>
        <color rgb="FF000000"/>
        <rFont val="Calibri"/>
        <scheme val="minor"/>
      </rPr>
      <t xml:space="preserve">End-users may be unavailable during the test phase due to scheduling conflicts with other work commitments.
</t>
    </r>
    <r>
      <rPr>
        <b/>
        <sz val="11"/>
        <color rgb="FF000000"/>
        <rFont val="Calibri"/>
        <scheme val="minor"/>
      </rPr>
      <t xml:space="preserve">Lack of interest: </t>
    </r>
    <r>
      <rPr>
        <sz val="11"/>
        <color rgb="FF000000"/>
        <rFont val="Calibri"/>
        <scheme val="minor"/>
      </rPr>
      <t xml:space="preserve">End-users may not be interested in participating in the test phase, either because they do not see the value in it or because they are too busy with other tasks.
</t>
    </r>
    <r>
      <rPr>
        <b/>
        <sz val="11"/>
        <color rgb="FF000000"/>
        <rFont val="Calibri"/>
        <scheme val="minor"/>
      </rPr>
      <t>Fear of change:</t>
    </r>
    <r>
      <rPr>
        <sz val="11"/>
        <color rgb="FF000000"/>
        <rFont val="Calibri"/>
        <scheme val="minor"/>
      </rPr>
      <t xml:space="preserve"> End-users may be afraid of change and may not want to participate in the test phase because they are worried about how the changes will affect their work.
</t>
    </r>
    <r>
      <rPr>
        <b/>
        <sz val="11"/>
        <color rgb="FF000000"/>
        <rFont val="Calibri"/>
        <scheme val="minor"/>
      </rPr>
      <t>Technical difficulties</t>
    </r>
    <r>
      <rPr>
        <sz val="11"/>
        <color rgb="FF000000"/>
        <rFont val="Calibri"/>
        <scheme val="minor"/>
      </rPr>
      <t>: End-users may not be able to participate in the test phase due to technical difficulties, such as not having the necessary access or equipment.</t>
    </r>
  </si>
  <si>
    <r>
      <rPr>
        <b/>
        <sz val="11"/>
        <color rgb="FF000000"/>
        <rFont val="Calibri"/>
        <scheme val="minor"/>
      </rPr>
      <t xml:space="preserve">Delayed testing: </t>
    </r>
    <r>
      <rPr>
        <sz val="11"/>
        <color rgb="FF000000"/>
        <rFont val="Calibri"/>
        <scheme val="minor"/>
      </rPr>
      <t xml:space="preserve">If end-users are unavailable, the testing phase may be delayed, which can lead to delays in the release of the product or service.
</t>
    </r>
    <r>
      <rPr>
        <b/>
        <sz val="11"/>
        <color rgb="FF000000"/>
        <rFont val="Calibri"/>
        <scheme val="minor"/>
      </rPr>
      <t xml:space="preserve">Incomplete testing: </t>
    </r>
    <r>
      <rPr>
        <sz val="11"/>
        <color rgb="FF000000"/>
        <rFont val="Calibri"/>
        <scheme val="minor"/>
      </rPr>
      <t xml:space="preserve">If end-users are not available to test all of the features or functionality of the product or service, the testing may be incomplete, which can lead to problems being discovered after the product or service is released.
</t>
    </r>
    <r>
      <rPr>
        <b/>
        <sz val="11"/>
        <color rgb="FF000000"/>
        <rFont val="Calibri"/>
        <scheme val="minor"/>
      </rPr>
      <t xml:space="preserve">Negative feedback: </t>
    </r>
    <r>
      <rPr>
        <sz val="11"/>
        <color rgb="FF000000"/>
        <rFont val="Calibri"/>
        <scheme val="minor"/>
      </rPr>
      <t>If end-users are not available to test the product or service, they may not be able to provide feedback on the usability or functionality of the product or service, which can lead to negative feedback after the product or service is released.</t>
    </r>
  </si>
  <si>
    <t>Having a backup plan: Pplanning extra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</si>
</sst>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b/>
      <sz val="36"/>
      <color rgb="FF273691"/>
      <name val="Calibri"/>
      <family val="2"/>
      <scheme val="minor"/>
    </font>
    <font>
      <b/>
      <sz val="14"/>
      <color rgb="FF000000"/>
      <name val="Calibri"/>
    </font>
    <font>
      <b/>
      <sz val="12"/>
      <color rgb="FF000000"/>
      <name val="Calibri"/>
    </font>
    <font>
      <sz val="12"/>
      <color rgb="FF000000"/>
      <name val="Calibri"/>
    </font>
    <font>
      <sz val="11"/>
      <color rgb="FF000000"/>
      <name val="Calibri"/>
    </font>
    <font>
      <b/>
      <sz val="11"/>
      <color theme="0"/>
      <name val="Calibri"/>
      <family val="2"/>
      <scheme val="minor"/>
    </font>
    <font>
      <sz val="11"/>
      <color rgb="FF000000"/>
      <name val="Calibri"/>
      <family val="2"/>
      <scheme val="minor"/>
    </font>
    <font>
      <b/>
      <sz val="11"/>
      <color rgb="FF000000"/>
      <name val="Calibri"/>
      <family val="2"/>
      <scheme val="minor"/>
    </font>
    <font>
      <b/>
      <sz val="11"/>
      <color rgb="FF000000"/>
      <name val="Calibri"/>
    </font>
    <font>
      <b/>
      <sz val="11"/>
      <color rgb="FF000000"/>
      <name val="Calibri"/>
      <scheme val="minor"/>
    </font>
    <font>
      <sz val="11"/>
      <color rgb="FF000000"/>
      <name val="Calibri"/>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8"/>
      <name val="Calibri"/>
      <family val="2"/>
      <scheme val="minor"/>
    </font>
    <font>
      <b/>
      <sz val="20"/>
      <color rgb="FF273691"/>
      <name val="Calibri"/>
      <family val="2"/>
      <scheme val="minor"/>
    </font>
    <font>
      <sz val="12"/>
      <color rgb="FFFF0000"/>
      <name val="Calibri"/>
    </font>
  </fonts>
  <fills count="12">
    <fill>
      <patternFill patternType="none"/>
    </fill>
    <fill>
      <patternFill patternType="gray125"/>
    </fill>
    <fill>
      <patternFill patternType="solid">
        <fgColor rgb="FFC0D1F3"/>
        <bgColor rgb="FF000000"/>
      </patternFill>
    </fill>
    <fill>
      <patternFill patternType="solid">
        <fgColor rgb="FF92CDDC"/>
        <bgColor rgb="FF000000"/>
      </patternFill>
    </fill>
    <fill>
      <patternFill patternType="solid">
        <fgColor rgb="FFDAEEF3"/>
        <bgColor rgb="FF000000"/>
      </patternFill>
    </fill>
    <fill>
      <patternFill patternType="solid">
        <fgColor theme="9"/>
        <bgColor indexed="64"/>
      </patternFill>
    </fill>
    <fill>
      <patternFill patternType="solid">
        <fgColor theme="0"/>
        <bgColor indexed="64"/>
      </patternFill>
    </fill>
    <fill>
      <patternFill patternType="solid">
        <fgColor rgb="FFFFFF00"/>
        <bgColor indexed="64"/>
      </patternFill>
    </fill>
    <fill>
      <patternFill patternType="solid">
        <fgColor rgb="FFE6840E"/>
        <bgColor indexed="64"/>
      </patternFill>
    </fill>
    <fill>
      <patternFill patternType="solid">
        <fgColor rgb="FFFF0000"/>
        <bgColor indexed="64"/>
      </patternFill>
    </fill>
    <fill>
      <patternFill patternType="solid">
        <fgColor theme="5" tint="0.79998168889431442"/>
        <bgColor indexed="64"/>
      </patternFill>
    </fill>
    <fill>
      <patternFill patternType="solid">
        <fgColor theme="8" tint="0.39997558519241921"/>
        <bgColor indexed="64"/>
      </patternFill>
    </fill>
  </fills>
  <borders count="32">
    <border>
      <left/>
      <right/>
      <top/>
      <bottom/>
      <diagonal/>
    </border>
    <border>
      <left style="thin">
        <color theme="2"/>
      </left>
      <right style="thin">
        <color theme="2"/>
      </right>
      <top style="thin">
        <color theme="2"/>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top/>
      <bottom style="thin">
        <color rgb="FF000000"/>
      </bottom>
      <diagonal/>
    </border>
    <border>
      <left style="medium">
        <color indexed="64"/>
      </left>
      <right style="medium">
        <color indexed="64"/>
      </right>
      <top style="medium">
        <color indexed="64"/>
      </top>
      <bottom style="medium">
        <color indexed="64"/>
      </bottom>
      <diagonal/>
    </border>
    <border>
      <left/>
      <right style="thin">
        <color rgb="FF000000"/>
      </right>
      <top style="thin">
        <color rgb="FF000000"/>
      </top>
      <bottom style="medium">
        <color rgb="FF000000"/>
      </bottom>
      <diagonal/>
    </border>
    <border>
      <left style="medium">
        <color indexed="64"/>
      </left>
      <right/>
      <top style="medium">
        <color indexed="64"/>
      </top>
      <bottom style="medium">
        <color indexed="64"/>
      </bottom>
      <diagonal/>
    </border>
    <border>
      <left style="thin">
        <color rgb="FF000000"/>
      </left>
      <right/>
      <top style="thin">
        <color rgb="FF000000"/>
      </top>
      <bottom/>
      <diagonal/>
    </border>
    <border>
      <left/>
      <right style="thin">
        <color rgb="FF000000"/>
      </right>
      <top/>
      <bottom style="thin">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96">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xf>
    <xf numFmtId="0" fontId="0" fillId="0" borderId="0" xfId="0" applyAlignment="1">
      <alignment horizontal="center" vertical="center"/>
    </xf>
    <xf numFmtId="0" fontId="2" fillId="2" borderId="1" xfId="0" applyFont="1" applyFill="1" applyBorder="1" applyAlignment="1">
      <alignment vertical="center"/>
    </xf>
    <xf numFmtId="0" fontId="3" fillId="0" borderId="0" xfId="0" applyFont="1" applyAlignment="1">
      <alignment horizontal="center" vertical="top"/>
    </xf>
    <xf numFmtId="0" fontId="3" fillId="0" borderId="0" xfId="0" applyFont="1" applyAlignment="1">
      <alignment vertical="top"/>
    </xf>
    <xf numFmtId="0" fontId="3" fillId="0" borderId="0" xfId="0" applyFont="1"/>
    <xf numFmtId="0" fontId="3" fillId="0" borderId="0" xfId="0" applyFont="1" applyAlignment="1">
      <alignment vertical="center"/>
    </xf>
    <xf numFmtId="0" fontId="0" fillId="0" borderId="0" xfId="0" applyAlignment="1">
      <alignment vertical="center"/>
    </xf>
    <xf numFmtId="0" fontId="3" fillId="0" borderId="2" xfId="0" applyFont="1" applyBorder="1"/>
    <xf numFmtId="0" fontId="0" fillId="0" borderId="3" xfId="0" applyBorder="1"/>
    <xf numFmtId="0" fontId="0" fillId="0" borderId="4" xfId="0" applyBorder="1"/>
    <xf numFmtId="0" fontId="0" fillId="0" borderId="0" xfId="0" applyAlignment="1">
      <alignment wrapText="1"/>
    </xf>
    <xf numFmtId="0" fontId="3" fillId="3" borderId="5" xfId="0" applyFont="1" applyFill="1" applyBorder="1" applyAlignment="1">
      <alignment horizontal="center"/>
    </xf>
    <xf numFmtId="0" fontId="3" fillId="3" borderId="5" xfId="0" applyFont="1" applyFill="1" applyBorder="1"/>
    <xf numFmtId="0" fontId="4" fillId="0" borderId="0" xfId="0" applyFont="1"/>
    <xf numFmtId="0" fontId="5" fillId="4" borderId="6" xfId="0" applyFont="1" applyFill="1" applyBorder="1" applyAlignment="1">
      <alignment horizontal="center"/>
    </xf>
    <xf numFmtId="0" fontId="5" fillId="4" borderId="6" xfId="0" applyFont="1" applyFill="1" applyBorder="1"/>
    <xf numFmtId="0" fontId="5" fillId="0" borderId="0" xfId="0" applyFont="1"/>
    <xf numFmtId="0" fontId="6" fillId="0" borderId="0" xfId="0" applyFont="1"/>
    <xf numFmtId="0" fontId="3" fillId="3" borderId="5" xfId="0" applyFont="1" applyFill="1" applyBorder="1" applyAlignment="1">
      <alignment horizontal="center" wrapText="1"/>
    </xf>
    <xf numFmtId="0" fontId="5" fillId="4" borderId="7" xfId="0" applyFont="1" applyFill="1" applyBorder="1" applyAlignment="1">
      <alignment horizontal="center" wrapText="1"/>
    </xf>
    <xf numFmtId="0" fontId="5" fillId="4" borderId="7" xfId="0" applyFont="1" applyFill="1" applyBorder="1" applyAlignment="1">
      <alignment horizontal="center"/>
    </xf>
    <xf numFmtId="0" fontId="5" fillId="4" borderId="7" xfId="0" applyFont="1" applyFill="1" applyBorder="1"/>
    <xf numFmtId="0" fontId="5" fillId="4" borderId="6" xfId="0" applyFont="1" applyFill="1" applyBorder="1" applyAlignment="1">
      <alignment horizontal="center" wrapText="1"/>
    </xf>
    <xf numFmtId="0" fontId="5" fillId="0" borderId="0" xfId="0" applyFont="1" applyAlignment="1">
      <alignment horizontal="center" wrapText="1"/>
    </xf>
    <xf numFmtId="0" fontId="5" fillId="0" borderId="0" xfId="0" applyFont="1" applyAlignment="1">
      <alignment horizontal="center"/>
    </xf>
    <xf numFmtId="0" fontId="4" fillId="3" borderId="5" xfId="0" applyFont="1" applyFill="1" applyBorder="1" applyAlignment="1">
      <alignment horizontal="center"/>
    </xf>
    <xf numFmtId="0" fontId="4" fillId="3" borderId="5" xfId="0" applyFont="1" applyFill="1" applyBorder="1"/>
    <xf numFmtId="0" fontId="5" fillId="4" borderId="6" xfId="0" applyFont="1" applyFill="1" applyBorder="1" applyAlignment="1">
      <alignment wrapText="1"/>
    </xf>
    <xf numFmtId="0" fontId="5" fillId="4" borderId="7" xfId="0" applyFont="1" applyFill="1" applyBorder="1" applyAlignment="1">
      <alignment wrapText="1"/>
    </xf>
    <xf numFmtId="0" fontId="5" fillId="0" borderId="8" xfId="0" applyFont="1" applyBorder="1" applyAlignment="1">
      <alignment horizontal="left"/>
    </xf>
    <xf numFmtId="0" fontId="5" fillId="0" borderId="9" xfId="0" applyFont="1" applyBorder="1"/>
    <xf numFmtId="0" fontId="5" fillId="0" borderId="10" xfId="0" applyFont="1" applyBorder="1" applyAlignment="1">
      <alignment horizontal="left"/>
    </xf>
    <xf numFmtId="0" fontId="5" fillId="0" borderId="11" xfId="0" applyFont="1" applyBorder="1" applyAlignment="1">
      <alignment horizontal="center"/>
    </xf>
    <xf numFmtId="0" fontId="7" fillId="5" borderId="6" xfId="0" applyFont="1" applyFill="1" applyBorder="1" applyAlignment="1">
      <alignment horizontal="center" vertical="center"/>
    </xf>
    <xf numFmtId="0" fontId="5" fillId="6" borderId="12" xfId="0" applyFont="1" applyFill="1" applyBorder="1"/>
    <xf numFmtId="0" fontId="1" fillId="7" borderId="6" xfId="0" applyFont="1" applyFill="1" applyBorder="1" applyAlignment="1">
      <alignment horizontal="center" vertical="center"/>
    </xf>
    <xf numFmtId="0" fontId="5" fillId="6" borderId="12" xfId="0" applyFont="1" applyFill="1" applyBorder="1" applyAlignment="1">
      <alignment wrapText="1"/>
    </xf>
    <xf numFmtId="0" fontId="7" fillId="8" borderId="6" xfId="0" applyFont="1" applyFill="1" applyBorder="1" applyAlignment="1">
      <alignment horizontal="center" vertical="center"/>
    </xf>
    <xf numFmtId="0" fontId="5" fillId="6" borderId="13" xfId="0" applyFont="1" applyFill="1" applyBorder="1" applyAlignment="1">
      <alignment wrapText="1"/>
    </xf>
    <xf numFmtId="0" fontId="7" fillId="9" borderId="6" xfId="0" applyFont="1" applyFill="1" applyBorder="1" applyAlignment="1">
      <alignment horizontal="center" vertical="center"/>
    </xf>
    <xf numFmtId="0" fontId="5" fillId="0" borderId="0" xfId="0" applyFont="1" applyAlignment="1">
      <alignment horizontal="left"/>
    </xf>
    <xf numFmtId="0" fontId="0" fillId="10" borderId="16" xfId="0" applyFill="1" applyBorder="1" applyAlignment="1">
      <alignment vertical="center" wrapText="1"/>
    </xf>
    <xf numFmtId="0" fontId="8" fillId="10" borderId="5" xfId="0" applyFont="1" applyFill="1" applyBorder="1" applyAlignment="1">
      <alignment vertical="center" wrapText="1"/>
    </xf>
    <xf numFmtId="0" fontId="9" fillId="10" borderId="5" xfId="0" applyFont="1" applyFill="1" applyBorder="1" applyAlignment="1">
      <alignment vertical="center" wrapText="1"/>
    </xf>
    <xf numFmtId="0" fontId="0" fillId="10" borderId="5" xfId="0" applyFill="1" applyBorder="1" applyAlignment="1">
      <alignment vertical="center" wrapText="1"/>
    </xf>
    <xf numFmtId="0" fontId="1" fillId="7" borderId="5" xfId="0" applyFont="1" applyFill="1" applyBorder="1" applyAlignment="1">
      <alignment vertical="center" wrapText="1"/>
    </xf>
    <xf numFmtId="0" fontId="6" fillId="10" borderId="17" xfId="0" applyFont="1" applyFill="1" applyBorder="1" applyAlignment="1">
      <alignment vertical="center" wrapText="1"/>
    </xf>
    <xf numFmtId="0" fontId="1" fillId="0" borderId="0" xfId="0" applyFont="1" applyAlignment="1">
      <alignment vertical="top" wrapText="1"/>
    </xf>
    <xf numFmtId="0" fontId="8" fillId="10" borderId="6" xfId="0" applyFont="1" applyFill="1" applyBorder="1" applyAlignment="1">
      <alignment vertical="center"/>
    </xf>
    <xf numFmtId="0" fontId="8" fillId="10" borderId="6" xfId="0" applyFont="1" applyFill="1" applyBorder="1" applyAlignment="1">
      <alignment vertical="center" wrapText="1"/>
    </xf>
    <xf numFmtId="0" fontId="0" fillId="10" borderId="6" xfId="0" applyFill="1" applyBorder="1" applyAlignment="1">
      <alignment vertical="center"/>
    </xf>
    <xf numFmtId="0" fontId="6" fillId="10" borderId="18" xfId="0" applyFont="1" applyFill="1" applyBorder="1" applyAlignment="1">
      <alignment vertical="center" wrapText="1"/>
    </xf>
    <xf numFmtId="0" fontId="1" fillId="0" borderId="0" xfId="0" applyFont="1" applyAlignment="1">
      <alignment vertical="top"/>
    </xf>
    <xf numFmtId="0" fontId="0" fillId="10" borderId="18" xfId="0" applyFill="1" applyBorder="1" applyAlignment="1">
      <alignment vertical="center" wrapText="1"/>
    </xf>
    <xf numFmtId="0" fontId="0" fillId="10" borderId="18" xfId="0" applyFill="1" applyBorder="1" applyAlignment="1">
      <alignment vertical="center"/>
    </xf>
    <xf numFmtId="0" fontId="6" fillId="10" borderId="6" xfId="0" applyFont="1" applyFill="1" applyBorder="1" applyAlignment="1">
      <alignment vertical="center"/>
    </xf>
    <xf numFmtId="0" fontId="10" fillId="10" borderId="6" xfId="0" applyFont="1" applyFill="1" applyBorder="1" applyAlignment="1">
      <alignment vertical="center"/>
    </xf>
    <xf numFmtId="0" fontId="8" fillId="10" borderId="6" xfId="0" applyFont="1" applyFill="1" applyBorder="1" applyAlignment="1">
      <alignment horizontal="left" vertical="center" wrapText="1"/>
    </xf>
    <xf numFmtId="0" fontId="0" fillId="10" borderId="18" xfId="0" applyFill="1" applyBorder="1" applyAlignment="1">
      <alignment horizontal="left" vertical="center"/>
    </xf>
    <xf numFmtId="0" fontId="8" fillId="10" borderId="19" xfId="0" applyFont="1" applyFill="1" applyBorder="1" applyAlignment="1">
      <alignment vertical="center"/>
    </xf>
    <xf numFmtId="0" fontId="8" fillId="10" borderId="19" xfId="0" applyFont="1" applyFill="1" applyBorder="1" applyAlignment="1">
      <alignment vertical="center" wrapText="1"/>
    </xf>
    <xf numFmtId="0" fontId="0" fillId="10" borderId="19" xfId="0" applyFill="1" applyBorder="1" applyAlignment="1">
      <alignment vertical="center"/>
    </xf>
    <xf numFmtId="0" fontId="0" fillId="10" borderId="20" xfId="0" applyFill="1" applyBorder="1" applyAlignment="1">
      <alignment vertical="center"/>
    </xf>
    <xf numFmtId="0" fontId="1" fillId="11" borderId="14" xfId="0" applyFont="1" applyFill="1" applyBorder="1" applyAlignment="1">
      <alignment vertical="center"/>
    </xf>
    <xf numFmtId="0" fontId="1" fillId="11" borderId="15" xfId="0" applyFont="1" applyFill="1" applyBorder="1" applyAlignment="1">
      <alignment vertical="center"/>
    </xf>
    <xf numFmtId="0" fontId="1" fillId="11" borderId="4" xfId="0" applyFont="1" applyFill="1" applyBorder="1" applyAlignment="1">
      <alignment vertical="center"/>
    </xf>
    <xf numFmtId="0" fontId="1" fillId="11" borderId="4" xfId="0" applyFont="1" applyFill="1" applyBorder="1" applyAlignment="1">
      <alignment horizontal="center" vertical="center"/>
    </xf>
    <xf numFmtId="0" fontId="1" fillId="11" borderId="3" xfId="0" applyFont="1" applyFill="1" applyBorder="1" applyAlignment="1">
      <alignment horizontal="center" vertical="center"/>
    </xf>
    <xf numFmtId="0" fontId="1" fillId="11" borderId="0" xfId="0" applyFont="1" applyFill="1" applyAlignment="1">
      <alignment vertical="center"/>
    </xf>
    <xf numFmtId="0" fontId="1" fillId="11" borderId="24" xfId="0" applyFont="1" applyFill="1" applyBorder="1" applyAlignment="1">
      <alignment vertical="center" wrapText="1"/>
    </xf>
    <xf numFmtId="0" fontId="0" fillId="10" borderId="25" xfId="0" applyFill="1" applyBorder="1" applyAlignment="1">
      <alignment vertical="center"/>
    </xf>
    <xf numFmtId="0" fontId="1" fillId="11" borderId="26" xfId="0" applyFont="1" applyFill="1" applyBorder="1" applyAlignment="1">
      <alignment vertical="center" wrapText="1"/>
    </xf>
    <xf numFmtId="0" fontId="18" fillId="2" borderId="1" xfId="0" applyFont="1" applyFill="1" applyBorder="1" applyAlignment="1">
      <alignment horizontal="center" vertical="center"/>
    </xf>
    <xf numFmtId="0" fontId="1" fillId="0" borderId="0" xfId="0" applyFont="1"/>
    <xf numFmtId="0" fontId="0" fillId="0" borderId="7" xfId="0" applyBorder="1"/>
    <xf numFmtId="0" fontId="0" fillId="0" borderId="22" xfId="0" applyBorder="1"/>
    <xf numFmtId="0" fontId="0" fillId="0" borderId="5" xfId="0" applyBorder="1"/>
    <xf numFmtId="0" fontId="1" fillId="11" borderId="0" xfId="0" applyFont="1" applyFill="1" applyAlignment="1">
      <alignment horizontal="center" vertical="center"/>
    </xf>
    <xf numFmtId="0" fontId="1" fillId="0" borderId="0" xfId="0" applyFont="1" applyAlignment="1">
      <alignment vertical="center" wrapText="1"/>
    </xf>
    <xf numFmtId="0" fontId="1" fillId="11" borderId="29" xfId="0" applyFont="1" applyFill="1" applyBorder="1" applyAlignment="1">
      <alignment vertical="center"/>
    </xf>
    <xf numFmtId="0" fontId="1" fillId="11" borderId="30" xfId="0" applyFont="1" applyFill="1" applyBorder="1" applyAlignment="1">
      <alignment vertical="center"/>
    </xf>
    <xf numFmtId="0" fontId="1" fillId="11" borderId="31" xfId="0" applyFont="1" applyFill="1" applyBorder="1" applyAlignment="1">
      <alignment horizontal="center" vertical="center"/>
    </xf>
    <xf numFmtId="0" fontId="1" fillId="10" borderId="5" xfId="0" applyFont="1" applyFill="1" applyBorder="1" applyAlignment="1">
      <alignment vertical="center" wrapText="1"/>
    </xf>
    <xf numFmtId="0" fontId="1" fillId="10" borderId="21" xfId="0" applyFont="1" applyFill="1" applyBorder="1" applyAlignment="1">
      <alignment vertical="center" wrapText="1"/>
    </xf>
    <xf numFmtId="0" fontId="1" fillId="10" borderId="22" xfId="0" applyFont="1" applyFill="1" applyBorder="1" applyAlignment="1">
      <alignment vertical="center" wrapText="1"/>
    </xf>
    <xf numFmtId="0" fontId="0" fillId="0" borderId="0" xfId="0" applyAlignment="1">
      <alignment horizontal="center" wrapText="1"/>
    </xf>
    <xf numFmtId="0" fontId="0" fillId="0" borderId="0" xfId="0" applyAlignment="1">
      <alignment horizontal="center"/>
    </xf>
    <xf numFmtId="0" fontId="19" fillId="0" borderId="27" xfId="0" applyFont="1" applyBorder="1" applyAlignment="1">
      <alignment horizontal="left" wrapText="1"/>
    </xf>
    <xf numFmtId="0" fontId="19" fillId="0" borderId="13" xfId="0" applyFont="1" applyBorder="1" applyAlignment="1">
      <alignment horizontal="left"/>
    </xf>
    <xf numFmtId="0" fontId="19" fillId="0" borderId="23" xfId="0" applyFont="1" applyBorder="1" applyAlignment="1">
      <alignment horizontal="left"/>
    </xf>
    <xf numFmtId="0" fontId="19" fillId="0" borderId="28" xfId="0" applyFont="1" applyBorder="1" applyAlignment="1">
      <alignment horizontal="left"/>
    </xf>
    <xf numFmtId="0" fontId="0" fillId="0" borderId="31" xfId="0" applyBorder="1"/>
  </cellXfs>
  <cellStyles count="1">
    <cellStyle name="Normal" xfId="0" builtinId="0"/>
  </cellStyles>
  <dxfs count="8">
    <dxf>
      <font>
        <b/>
        <i val="0"/>
        <color rgb="FFFFFFFF"/>
      </font>
      <fill>
        <patternFill patternType="solid">
          <bgColor rgb="FF92D050"/>
        </patternFill>
      </fill>
    </dxf>
    <dxf>
      <font>
        <b/>
        <i val="0"/>
      </font>
      <fill>
        <patternFill patternType="solid">
          <bgColor rgb="FFFFFF00"/>
        </patternFill>
      </fill>
    </dxf>
    <dxf>
      <font>
        <b/>
        <i val="0"/>
      </font>
      <fill>
        <patternFill patternType="solid">
          <bgColor rgb="FFFFC000"/>
        </patternFill>
      </fill>
    </dxf>
    <dxf>
      <font>
        <b/>
        <i val="0"/>
        <color rgb="FFFFFFFF"/>
      </font>
      <fill>
        <patternFill patternType="solid">
          <bgColor rgb="FFFF0000"/>
        </patternFill>
      </fill>
    </dxf>
    <dxf>
      <font>
        <b/>
        <i val="0"/>
        <color rgb="FFFFFFFF"/>
      </font>
      <fill>
        <patternFill patternType="solid">
          <bgColor rgb="FF92D050"/>
        </patternFill>
      </fill>
    </dxf>
    <dxf>
      <font>
        <b/>
        <i val="0"/>
      </font>
      <fill>
        <patternFill patternType="solid">
          <bgColor rgb="FFFFFF00"/>
        </patternFill>
      </fill>
    </dxf>
    <dxf>
      <font>
        <b/>
        <i val="0"/>
      </font>
      <fill>
        <patternFill patternType="solid">
          <bgColor rgb="FFFFC000"/>
        </patternFill>
      </fill>
    </dxf>
    <dxf>
      <font>
        <b/>
        <i val="0"/>
        <color rgb="FFFFFFFF"/>
      </font>
      <fill>
        <patternFill patternType="solid">
          <bgColor rgb="FFFF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Etienne BERNOULI [EKVY]" id="{36411B0D-6766-4DE0-AC55-96E6DAECBAAF}" userId="S::etienne.bernouli@ekovya.com::788bc91c-003c-4812-92c2-07289c8ccac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7" dT="2023-09-28T10:42:50.31" personId="{36411B0D-6766-4DE0-AC55-96E6DAECBAAF}" id="{B97606F1-4B51-4EA2-852F-09C8E2202F55}">
    <text>How is it different from "R3 lack/wrong input on the timesheet" ?</text>
  </threadedComment>
  <threadedComment ref="C69" dT="2023-09-28T10:49:08.58" personId="{36411B0D-6766-4DE0-AC55-96E6DAECBAAF}" id="{7AD4306B-BD6E-41F4-AC3C-C3A209DAB1CA}">
    <text>How is it different from R17 and R18?</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2"/>
  <sheetViews>
    <sheetView tabSelected="1" topLeftCell="C29" zoomScale="85" zoomScaleNormal="85" workbookViewId="0">
      <selection activeCell="E40" sqref="E40"/>
    </sheetView>
  </sheetViews>
  <sheetFormatPr defaultColWidth="8.7109375" defaultRowHeight="15" customHeight="1"/>
  <cols>
    <col min="1" max="1" width="9.140625" bestFit="1" customWidth="1"/>
    <col min="2" max="2" width="59.7109375" customWidth="1"/>
    <col min="3" max="3" width="94.5703125" customWidth="1"/>
    <col min="4" max="4" width="82.85546875" customWidth="1"/>
    <col min="5" max="5" width="59.140625" customWidth="1"/>
    <col min="6" max="7" width="18" style="3" customWidth="1"/>
    <col min="8" max="8" width="16.28515625" style="3" customWidth="1"/>
    <col min="9" max="11" width="17.7109375" style="4" customWidth="1"/>
    <col min="12" max="12" width="17.5703125" customWidth="1"/>
    <col min="13" max="13" width="75.85546875" customWidth="1"/>
    <col min="28" max="28" width="17.7109375" style="4" customWidth="1"/>
  </cols>
  <sheetData>
    <row r="1" spans="1:28" ht="46.5" customHeight="1">
      <c r="A1" s="5" t="s">
        <v>0</v>
      </c>
      <c r="B1" s="5"/>
      <c r="C1" s="76" t="s">
        <v>1</v>
      </c>
      <c r="D1" s="6"/>
      <c r="E1" s="7"/>
      <c r="F1" s="8"/>
      <c r="G1" s="8"/>
      <c r="H1"/>
      <c r="I1" s="9"/>
      <c r="J1" s="9"/>
      <c r="K1" s="9"/>
      <c r="L1" s="8"/>
      <c r="M1" s="8"/>
      <c r="N1" s="8"/>
      <c r="O1" s="8"/>
      <c r="P1" s="8"/>
      <c r="S1" s="8"/>
      <c r="T1" s="8"/>
      <c r="U1" s="8"/>
      <c r="V1" s="8"/>
      <c r="AB1" s="9"/>
    </row>
    <row r="2" spans="1:28" ht="18.75">
      <c r="D2" s="7"/>
      <c r="E2" s="7"/>
      <c r="F2"/>
      <c r="G2"/>
      <c r="H2"/>
      <c r="I2" s="10"/>
      <c r="J2" s="10"/>
      <c r="K2" s="10"/>
      <c r="AB2" s="10"/>
    </row>
    <row r="3" spans="1:28" ht="18.75">
      <c r="B3" s="77"/>
      <c r="D3" s="7"/>
      <c r="E3" s="7"/>
      <c r="F3"/>
      <c r="G3"/>
      <c r="H3"/>
      <c r="I3" s="10"/>
      <c r="J3" s="10"/>
      <c r="K3" s="10"/>
      <c r="AB3" s="10"/>
    </row>
    <row r="4" spans="1:28" ht="18.75">
      <c r="B4" s="78" t="s">
        <v>2</v>
      </c>
      <c r="D4" s="7"/>
      <c r="E4" s="7"/>
      <c r="F4"/>
      <c r="G4"/>
      <c r="H4"/>
      <c r="I4" s="10"/>
      <c r="J4" s="10"/>
      <c r="K4" s="10"/>
      <c r="AB4" s="10"/>
    </row>
    <row r="5" spans="1:28" ht="18.75">
      <c r="B5" s="79" t="s">
        <v>3</v>
      </c>
      <c r="D5" s="7"/>
      <c r="E5" s="7"/>
      <c r="F5"/>
      <c r="G5"/>
      <c r="H5"/>
      <c r="I5" s="10"/>
      <c r="J5" s="10"/>
      <c r="K5" s="10"/>
      <c r="AB5" s="10"/>
    </row>
    <row r="6" spans="1:28" ht="18.75">
      <c r="B6" s="79" t="s">
        <v>4</v>
      </c>
      <c r="D6" s="7"/>
      <c r="E6" s="7"/>
      <c r="F6"/>
      <c r="G6"/>
      <c r="H6"/>
      <c r="I6" s="10"/>
      <c r="J6" s="10"/>
      <c r="K6" s="10"/>
      <c r="AB6" s="10"/>
    </row>
    <row r="7" spans="1:28" ht="18.75">
      <c r="B7" s="79" t="s">
        <v>5</v>
      </c>
      <c r="D7" s="7"/>
      <c r="E7" s="7"/>
      <c r="F7"/>
      <c r="G7"/>
      <c r="H7"/>
      <c r="I7" s="10"/>
      <c r="J7" s="10"/>
      <c r="K7" s="10"/>
      <c r="AB7" s="10"/>
    </row>
    <row r="8" spans="1:28" ht="18.75">
      <c r="B8" s="80" t="s">
        <v>6</v>
      </c>
      <c r="D8" s="7"/>
      <c r="E8" s="7"/>
      <c r="F8"/>
      <c r="G8"/>
      <c r="H8"/>
      <c r="I8" s="10"/>
      <c r="J8" s="10"/>
      <c r="K8" s="10"/>
      <c r="AB8" s="10"/>
    </row>
    <row r="9" spans="1:28" ht="18.75">
      <c r="A9" s="89"/>
      <c r="B9" s="90"/>
      <c r="D9" s="7"/>
      <c r="E9" s="7"/>
      <c r="F9"/>
      <c r="G9"/>
      <c r="H9"/>
      <c r="I9" s="10"/>
      <c r="J9" s="10"/>
      <c r="K9" s="10"/>
      <c r="AB9" s="10"/>
    </row>
    <row r="10" spans="1:28" ht="18.75" customHeight="1">
      <c r="A10" s="11" t="s">
        <v>7</v>
      </c>
      <c r="B10" s="12"/>
      <c r="C10" s="13"/>
      <c r="D10" s="14"/>
      <c r="E10" s="14"/>
      <c r="F10"/>
      <c r="G10"/>
      <c r="H10"/>
      <c r="I10" s="10"/>
      <c r="J10" s="10"/>
      <c r="K10" s="10"/>
      <c r="AB10" s="10"/>
    </row>
    <row r="11" spans="1:28" ht="18.75">
      <c r="A11" s="15" t="s">
        <v>8</v>
      </c>
      <c r="B11" s="15" t="s">
        <v>9</v>
      </c>
      <c r="C11" s="16" t="s">
        <v>10</v>
      </c>
      <c r="D11" s="14"/>
      <c r="E11" s="14"/>
      <c r="F11" s="8"/>
      <c r="G11" s="8"/>
      <c r="H11"/>
      <c r="O11" s="8"/>
      <c r="S11" s="17"/>
      <c r="T11" s="17"/>
      <c r="U11" s="17"/>
      <c r="V11" s="17"/>
    </row>
    <row r="12" spans="1:28" ht="15.75">
      <c r="A12" s="18">
        <v>1</v>
      </c>
      <c r="B12" s="18" t="s">
        <v>11</v>
      </c>
      <c r="C12" s="19" t="s">
        <v>12</v>
      </c>
      <c r="D12" s="14"/>
      <c r="E12" s="14"/>
      <c r="F12" s="20"/>
      <c r="G12" s="20"/>
      <c r="H12"/>
      <c r="O12" s="21"/>
      <c r="S12" s="20"/>
      <c r="T12" s="20"/>
      <c r="U12" s="20"/>
      <c r="V12" s="20"/>
    </row>
    <row r="13" spans="1:28" ht="15.75">
      <c r="A13" s="18">
        <v>2</v>
      </c>
      <c r="B13" s="18" t="s">
        <v>13</v>
      </c>
      <c r="C13" s="19" t="s">
        <v>14</v>
      </c>
      <c r="D13" s="14"/>
      <c r="E13" s="14"/>
      <c r="F13" s="20"/>
      <c r="G13" s="20"/>
      <c r="H13"/>
      <c r="O13" s="21"/>
      <c r="S13" s="20"/>
      <c r="T13" s="20"/>
      <c r="U13" s="20"/>
      <c r="V13" s="20"/>
    </row>
    <row r="14" spans="1:28" ht="15.75">
      <c r="A14" s="18">
        <v>3</v>
      </c>
      <c r="B14" s="18" t="s">
        <v>15</v>
      </c>
      <c r="C14" s="19" t="s">
        <v>16</v>
      </c>
      <c r="D14" s="14"/>
      <c r="E14" s="14"/>
      <c r="F14" s="20"/>
      <c r="G14" s="20"/>
      <c r="H14"/>
      <c r="O14" s="21"/>
      <c r="S14" s="20"/>
      <c r="T14" s="20"/>
      <c r="U14" s="20"/>
      <c r="V14" s="20"/>
    </row>
    <row r="15" spans="1:28" ht="15.75">
      <c r="A15" s="18">
        <v>4</v>
      </c>
      <c r="B15" s="18" t="s">
        <v>17</v>
      </c>
      <c r="C15" s="19" t="s">
        <v>18</v>
      </c>
      <c r="D15" s="14"/>
      <c r="E15" s="14"/>
      <c r="F15" s="20"/>
      <c r="G15" s="20"/>
      <c r="H15"/>
      <c r="O15" s="21"/>
      <c r="S15" s="20"/>
      <c r="T15" s="20"/>
      <c r="U15" s="20"/>
      <c r="V15" s="20"/>
    </row>
    <row r="16" spans="1:28">
      <c r="D16" s="14"/>
      <c r="E16" s="14"/>
      <c r="F16"/>
      <c r="G16"/>
      <c r="H16"/>
    </row>
    <row r="17" spans="1:8" ht="18.75">
      <c r="A17" s="11" t="s">
        <v>19</v>
      </c>
      <c r="B17" s="12"/>
      <c r="C17" s="13"/>
      <c r="D17" s="14"/>
      <c r="E17" s="14"/>
      <c r="F17"/>
      <c r="G17"/>
      <c r="H17"/>
    </row>
    <row r="18" spans="1:8" ht="18.75">
      <c r="A18" s="22" t="s">
        <v>20</v>
      </c>
      <c r="B18" s="15" t="s">
        <v>21</v>
      </c>
      <c r="C18" s="16" t="s">
        <v>10</v>
      </c>
      <c r="D18" s="14"/>
      <c r="E18" s="14"/>
      <c r="F18"/>
      <c r="G18"/>
      <c r="H18"/>
    </row>
    <row r="19" spans="1:8" ht="15.75">
      <c r="A19" s="23">
        <v>1</v>
      </c>
      <c r="B19" s="24" t="s">
        <v>22</v>
      </c>
      <c r="C19" s="25" t="s">
        <v>23</v>
      </c>
      <c r="D19" s="14"/>
      <c r="E19" s="14"/>
      <c r="F19"/>
      <c r="G19"/>
      <c r="H19"/>
    </row>
    <row r="20" spans="1:8" ht="15.75">
      <c r="A20" s="26">
        <v>2</v>
      </c>
      <c r="B20" s="18" t="s">
        <v>24</v>
      </c>
      <c r="C20" s="19" t="s">
        <v>25</v>
      </c>
      <c r="D20" s="14"/>
      <c r="E20" s="14"/>
      <c r="F20"/>
      <c r="G20"/>
      <c r="H20"/>
    </row>
    <row r="21" spans="1:8" ht="15.75">
      <c r="A21" s="26">
        <v>3</v>
      </c>
      <c r="B21" s="18" t="s">
        <v>26</v>
      </c>
      <c r="C21" s="19" t="s">
        <v>27</v>
      </c>
      <c r="D21" s="14"/>
      <c r="E21" s="14"/>
    </row>
    <row r="22" spans="1:8" ht="15.75">
      <c r="A22" s="26">
        <v>4</v>
      </c>
      <c r="B22" s="18" t="s">
        <v>28</v>
      </c>
      <c r="C22" s="19" t="s">
        <v>29</v>
      </c>
      <c r="D22" s="14"/>
      <c r="E22" s="14"/>
    </row>
    <row r="23" spans="1:8" ht="15.75">
      <c r="A23" s="27"/>
      <c r="B23" s="28"/>
      <c r="C23" s="20"/>
      <c r="D23" s="14"/>
      <c r="E23" s="14"/>
    </row>
    <row r="24" spans="1:8" ht="18.75">
      <c r="A24" s="11" t="s">
        <v>30</v>
      </c>
      <c r="B24" s="95"/>
      <c r="C24" s="20"/>
      <c r="D24" s="14"/>
      <c r="E24" s="14"/>
    </row>
    <row r="25" spans="1:8" ht="18.75">
      <c r="A25" s="29" t="s">
        <v>31</v>
      </c>
      <c r="B25" s="30" t="s">
        <v>32</v>
      </c>
      <c r="C25" s="16" t="s">
        <v>10</v>
      </c>
      <c r="D25" s="14"/>
      <c r="E25" s="14"/>
    </row>
    <row r="26" spans="1:8" ht="15.75">
      <c r="A26" s="18">
        <v>1</v>
      </c>
      <c r="B26" s="19" t="s">
        <v>33</v>
      </c>
      <c r="C26" s="25" t="s">
        <v>34</v>
      </c>
      <c r="D26" s="14"/>
      <c r="E26" s="14"/>
    </row>
    <row r="27" spans="1:8" ht="16.5">
      <c r="A27" s="18">
        <v>2</v>
      </c>
      <c r="B27" s="31" t="s">
        <v>35</v>
      </c>
      <c r="C27" s="19" t="s">
        <v>36</v>
      </c>
      <c r="D27" s="14"/>
      <c r="E27" s="14"/>
    </row>
    <row r="28" spans="1:8" ht="16.5">
      <c r="A28" s="24">
        <v>3</v>
      </c>
      <c r="B28" s="32" t="s">
        <v>37</v>
      </c>
      <c r="C28" s="19" t="s">
        <v>38</v>
      </c>
      <c r="D28" s="14"/>
      <c r="E28" s="14"/>
    </row>
    <row r="29" spans="1:8" ht="15.75">
      <c r="A29" s="18">
        <v>4</v>
      </c>
      <c r="B29" s="19" t="s">
        <v>39</v>
      </c>
      <c r="C29" s="19" t="s">
        <v>40</v>
      </c>
      <c r="D29" s="14"/>
      <c r="E29" s="14"/>
    </row>
    <row r="30" spans="1:8" ht="15.75">
      <c r="A30" s="27"/>
      <c r="B30" s="28"/>
      <c r="C30" s="20"/>
      <c r="D30" s="14"/>
      <c r="E30" s="14"/>
    </row>
    <row r="31" spans="1:8" ht="18.75">
      <c r="A31" s="11" t="s">
        <v>41</v>
      </c>
      <c r="B31" s="13"/>
      <c r="C31" s="20"/>
      <c r="D31" s="14"/>
      <c r="E31" s="14"/>
    </row>
    <row r="32" spans="1:8" ht="18.75">
      <c r="A32" s="29" t="s">
        <v>42</v>
      </c>
      <c r="B32" s="30" t="s">
        <v>43</v>
      </c>
      <c r="C32" s="16" t="s">
        <v>10</v>
      </c>
      <c r="D32" s="14"/>
      <c r="E32" s="14"/>
    </row>
    <row r="33" spans="1:28" ht="15.75">
      <c r="A33" s="18">
        <v>1</v>
      </c>
      <c r="B33" s="19" t="s">
        <v>33</v>
      </c>
      <c r="C33" s="25" t="s">
        <v>44</v>
      </c>
      <c r="D33" s="14"/>
      <c r="E33" s="14"/>
    </row>
    <row r="34" spans="1:28" ht="16.5">
      <c r="A34" s="18">
        <v>2</v>
      </c>
      <c r="B34" s="31" t="s">
        <v>35</v>
      </c>
      <c r="C34" s="19" t="s">
        <v>45</v>
      </c>
      <c r="D34" s="14"/>
      <c r="E34" s="14"/>
    </row>
    <row r="35" spans="1:28" ht="16.5">
      <c r="A35" s="24">
        <v>3</v>
      </c>
      <c r="B35" s="32" t="s">
        <v>37</v>
      </c>
      <c r="C35" s="19" t="s">
        <v>46</v>
      </c>
      <c r="D35" s="14"/>
      <c r="E35" s="14"/>
    </row>
    <row r="36" spans="1:28" ht="15.75">
      <c r="A36" s="18">
        <v>4</v>
      </c>
      <c r="B36" s="19" t="s">
        <v>39</v>
      </c>
      <c r="C36" s="19" t="s">
        <v>47</v>
      </c>
      <c r="D36" s="14"/>
      <c r="E36" s="14"/>
    </row>
    <row r="37" spans="1:28" ht="15.75">
      <c r="A37" s="28"/>
      <c r="B37" s="20"/>
      <c r="C37" s="20"/>
      <c r="D37" s="14"/>
      <c r="E37" s="14"/>
    </row>
    <row r="38" spans="1:28" ht="15.75">
      <c r="A38" s="33" t="s">
        <v>48</v>
      </c>
      <c r="B38" s="34"/>
      <c r="C38" s="20"/>
      <c r="D38" s="14"/>
      <c r="E38" s="14"/>
    </row>
    <row r="39" spans="1:28" ht="15.75">
      <c r="A39" s="35" t="s">
        <v>49</v>
      </c>
      <c r="B39" s="36"/>
      <c r="C39" s="20"/>
      <c r="D39" s="14"/>
      <c r="E39" s="14"/>
    </row>
    <row r="40" spans="1:28" ht="15.75">
      <c r="A40" s="37" t="s">
        <v>50</v>
      </c>
      <c r="B40" s="38" t="s">
        <v>33</v>
      </c>
      <c r="C40" s="20"/>
      <c r="D40" s="14"/>
      <c r="E40" s="14"/>
    </row>
    <row r="41" spans="1:28" ht="16.5">
      <c r="A41" s="39" t="s">
        <v>51</v>
      </c>
      <c r="B41" s="40" t="s">
        <v>35</v>
      </c>
      <c r="C41" s="20"/>
      <c r="D41" s="14"/>
      <c r="E41" s="14"/>
    </row>
    <row r="42" spans="1:28" ht="16.5">
      <c r="A42" s="41" t="s">
        <v>52</v>
      </c>
      <c r="B42" s="42" t="s">
        <v>37</v>
      </c>
      <c r="C42" s="20"/>
      <c r="D42" s="14"/>
      <c r="E42" s="14"/>
    </row>
    <row r="43" spans="1:28" ht="15.75">
      <c r="A43" s="43" t="s">
        <v>53</v>
      </c>
      <c r="B43" s="38" t="s">
        <v>39</v>
      </c>
      <c r="C43" s="20"/>
      <c r="D43" s="14"/>
      <c r="E43" s="14"/>
    </row>
    <row r="44" spans="1:28" ht="15.75">
      <c r="A44" s="44"/>
      <c r="B44" s="28"/>
      <c r="C44" s="20"/>
      <c r="D44" s="14"/>
      <c r="E44" s="14"/>
    </row>
    <row r="45" spans="1:28" ht="15.75">
      <c r="A45" s="91" t="s">
        <v>54</v>
      </c>
      <c r="B45" s="92"/>
      <c r="C45" s="20"/>
      <c r="D45" s="14"/>
      <c r="E45" s="14"/>
    </row>
    <row r="46" spans="1:28" ht="15.75">
      <c r="A46" s="93"/>
      <c r="B46" s="94"/>
      <c r="C46" s="20"/>
      <c r="D46" s="14"/>
      <c r="E46" s="14"/>
    </row>
    <row r="47" spans="1:28" s="72" customFormat="1" ht="48.95" customHeight="1">
      <c r="A47" s="83" t="s">
        <v>55</v>
      </c>
      <c r="B47" s="84" t="s">
        <v>56</v>
      </c>
      <c r="C47" s="67" t="s">
        <v>57</v>
      </c>
      <c r="D47" s="68" t="s">
        <v>58</v>
      </c>
      <c r="E47" s="69" t="s">
        <v>59</v>
      </c>
      <c r="F47" s="71" t="s">
        <v>9</v>
      </c>
      <c r="G47" s="85" t="s">
        <v>32</v>
      </c>
      <c r="H47" s="70" t="s">
        <v>21</v>
      </c>
      <c r="I47" s="70" t="s">
        <v>43</v>
      </c>
      <c r="J47" s="75" t="s">
        <v>60</v>
      </c>
      <c r="K47" s="73" t="s">
        <v>61</v>
      </c>
      <c r="L47" s="69" t="s">
        <v>62</v>
      </c>
      <c r="M47" s="69" t="s">
        <v>63</v>
      </c>
      <c r="AB47" s="81"/>
    </row>
    <row r="48" spans="1:28" s="1" customFormat="1" ht="60.75">
      <c r="A48" s="45" t="s">
        <v>64</v>
      </c>
      <c r="B48" s="46" t="s">
        <v>65</v>
      </c>
      <c r="C48" s="46" t="s">
        <v>66</v>
      </c>
      <c r="D48" s="47" t="s">
        <v>67</v>
      </c>
      <c r="E48" s="46" t="s">
        <v>68</v>
      </c>
      <c r="F48" s="48">
        <v>1</v>
      </c>
      <c r="G48" s="48">
        <v>1</v>
      </c>
      <c r="H48" s="48">
        <v>3</v>
      </c>
      <c r="I48" s="49">
        <f>F48*G48*H48</f>
        <v>3</v>
      </c>
      <c r="J48" s="86" t="s">
        <v>69</v>
      </c>
      <c r="K48" s="86" t="s">
        <v>70</v>
      </c>
      <c r="L48" s="48" t="s">
        <v>71</v>
      </c>
      <c r="M48" s="50" t="s">
        <v>72</v>
      </c>
      <c r="N48" s="51"/>
      <c r="O48" s="51"/>
      <c r="AB48" s="82"/>
    </row>
    <row r="49" spans="1:28" s="2" customFormat="1" ht="213" customHeight="1">
      <c r="A49" s="45" t="s">
        <v>73</v>
      </c>
      <c r="B49" s="52" t="s">
        <v>74</v>
      </c>
      <c r="C49" s="52" t="s">
        <v>75</v>
      </c>
      <c r="D49" s="53" t="s">
        <v>76</v>
      </c>
      <c r="E49" s="53" t="s">
        <v>77</v>
      </c>
      <c r="F49" s="54">
        <v>1</v>
      </c>
      <c r="G49" s="54">
        <v>2</v>
      </c>
      <c r="H49" s="54">
        <v>4</v>
      </c>
      <c r="I49" s="49">
        <f t="shared" ref="I49:I69" si="0">F49*G49*H49</f>
        <v>8</v>
      </c>
      <c r="J49" s="87" t="s">
        <v>78</v>
      </c>
      <c r="K49" s="86" t="s">
        <v>70</v>
      </c>
      <c r="L49" s="54" t="s">
        <v>71</v>
      </c>
      <c r="M49" s="55" t="s">
        <v>79</v>
      </c>
      <c r="N49" s="56"/>
      <c r="O49" s="56"/>
      <c r="AB49" s="82"/>
    </row>
    <row r="50" spans="1:28" s="2" customFormat="1" ht="45.75">
      <c r="A50" s="45" t="s">
        <v>80</v>
      </c>
      <c r="B50" s="52" t="s">
        <v>81</v>
      </c>
      <c r="C50" s="52" t="s">
        <v>82</v>
      </c>
      <c r="D50" s="53" t="s">
        <v>83</v>
      </c>
      <c r="E50" s="53" t="s">
        <v>84</v>
      </c>
      <c r="F50" s="54">
        <v>3</v>
      </c>
      <c r="G50" s="54">
        <v>1</v>
      </c>
      <c r="H50" s="54">
        <v>3</v>
      </c>
      <c r="I50" s="49">
        <f>F50*G50*H50</f>
        <v>9</v>
      </c>
      <c r="J50" s="87" t="s">
        <v>78</v>
      </c>
      <c r="K50" s="86" t="s">
        <v>70</v>
      </c>
      <c r="L50" s="54" t="s">
        <v>85</v>
      </c>
      <c r="M50" s="57" t="s">
        <v>86</v>
      </c>
      <c r="AB50" s="82"/>
    </row>
    <row r="51" spans="1:28" s="2" customFormat="1" ht="56.45" customHeight="1">
      <c r="A51" s="45" t="s">
        <v>87</v>
      </c>
      <c r="B51" s="52" t="s">
        <v>81</v>
      </c>
      <c r="C51" s="52" t="s">
        <v>88</v>
      </c>
      <c r="D51" s="53" t="s">
        <v>89</v>
      </c>
      <c r="E51" s="53" t="s">
        <v>90</v>
      </c>
      <c r="F51" s="54">
        <v>1</v>
      </c>
      <c r="G51" s="54">
        <v>1</v>
      </c>
      <c r="H51" s="54">
        <v>3</v>
      </c>
      <c r="I51" s="49">
        <f t="shared" si="0"/>
        <v>3</v>
      </c>
      <c r="J51" s="86" t="s">
        <v>69</v>
      </c>
      <c r="K51" s="86" t="s">
        <v>70</v>
      </c>
      <c r="L51" s="54" t="s">
        <v>71</v>
      </c>
      <c r="M51" s="57" t="s">
        <v>91</v>
      </c>
      <c r="AB51" s="82"/>
    </row>
    <row r="52" spans="1:28" ht="167.25" customHeight="1">
      <c r="A52" s="45" t="s">
        <v>92</v>
      </c>
      <c r="B52" s="52" t="s">
        <v>81</v>
      </c>
      <c r="C52" s="52" t="s">
        <v>93</v>
      </c>
      <c r="D52" s="53" t="s">
        <v>94</v>
      </c>
      <c r="E52" s="52" t="s">
        <v>95</v>
      </c>
      <c r="F52" s="54">
        <v>3</v>
      </c>
      <c r="G52" s="54">
        <v>1</v>
      </c>
      <c r="H52" s="54">
        <v>3</v>
      </c>
      <c r="I52" s="49">
        <f t="shared" si="0"/>
        <v>9</v>
      </c>
      <c r="J52" s="87" t="s">
        <v>78</v>
      </c>
      <c r="K52" s="86" t="s">
        <v>70</v>
      </c>
      <c r="L52" s="54" t="s">
        <v>85</v>
      </c>
      <c r="M52" s="58" t="s">
        <v>96</v>
      </c>
      <c r="AB52" s="82"/>
    </row>
    <row r="53" spans="1:28" ht="15" customHeight="1">
      <c r="A53" s="45" t="s">
        <v>97</v>
      </c>
      <c r="B53" s="52" t="s">
        <v>81</v>
      </c>
      <c r="C53" s="53" t="s">
        <v>98</v>
      </c>
      <c r="D53" s="52" t="s">
        <v>99</v>
      </c>
      <c r="E53" s="52" t="s">
        <v>100</v>
      </c>
      <c r="F53" s="54">
        <v>3</v>
      </c>
      <c r="G53" s="54">
        <v>1</v>
      </c>
      <c r="H53" s="54">
        <v>2</v>
      </c>
      <c r="I53" s="49">
        <f t="shared" si="0"/>
        <v>6</v>
      </c>
      <c r="J53" s="87" t="s">
        <v>78</v>
      </c>
      <c r="K53" s="86" t="s">
        <v>70</v>
      </c>
      <c r="L53" s="54" t="s">
        <v>85</v>
      </c>
      <c r="M53" s="58" t="s">
        <v>101</v>
      </c>
      <c r="AB53" s="82"/>
    </row>
    <row r="54" spans="1:28" ht="198" customHeight="1">
      <c r="A54" s="45" t="s">
        <v>102</v>
      </c>
      <c r="B54" s="52" t="s">
        <v>81</v>
      </c>
      <c r="C54" s="52" t="s">
        <v>103</v>
      </c>
      <c r="D54" s="53" t="s">
        <v>104</v>
      </c>
      <c r="E54" s="53" t="s">
        <v>105</v>
      </c>
      <c r="F54" s="54">
        <v>1</v>
      </c>
      <c r="G54" s="54">
        <v>1</v>
      </c>
      <c r="H54" s="54">
        <v>3</v>
      </c>
      <c r="I54" s="49">
        <f t="shared" si="0"/>
        <v>3</v>
      </c>
      <c r="J54" s="87" t="s">
        <v>78</v>
      </c>
      <c r="K54" s="86" t="s">
        <v>70</v>
      </c>
      <c r="L54" s="54" t="s">
        <v>85</v>
      </c>
      <c r="M54" s="58" t="s">
        <v>106</v>
      </c>
      <c r="AB54" s="82"/>
    </row>
    <row r="55" spans="1:28" ht="15" customHeight="1">
      <c r="A55" s="45" t="s">
        <v>107</v>
      </c>
      <c r="B55" s="52" t="s">
        <v>108</v>
      </c>
      <c r="C55" s="59" t="s">
        <v>109</v>
      </c>
      <c r="D55" s="60" t="s">
        <v>110</v>
      </c>
      <c r="E55" s="59" t="s">
        <v>111</v>
      </c>
      <c r="F55" s="54">
        <v>1</v>
      </c>
      <c r="G55" s="54">
        <v>1</v>
      </c>
      <c r="H55" s="54">
        <v>4</v>
      </c>
      <c r="I55" s="49">
        <f t="shared" si="0"/>
        <v>4</v>
      </c>
      <c r="J55" s="87" t="s">
        <v>78</v>
      </c>
      <c r="K55" s="86" t="s">
        <v>112</v>
      </c>
      <c r="L55" s="54" t="s">
        <v>85</v>
      </c>
      <c r="M55" s="58" t="s">
        <v>113</v>
      </c>
      <c r="AB55" s="82"/>
    </row>
    <row r="56" spans="1:28" ht="15" customHeight="1">
      <c r="A56" s="45" t="s">
        <v>114</v>
      </c>
      <c r="B56" s="52" t="s">
        <v>74</v>
      </c>
      <c r="C56" s="52" t="s">
        <v>115</v>
      </c>
      <c r="D56" s="52" t="s">
        <v>116</v>
      </c>
      <c r="E56" s="52" t="s">
        <v>117</v>
      </c>
      <c r="F56" s="54">
        <v>3</v>
      </c>
      <c r="G56" s="54">
        <v>1</v>
      </c>
      <c r="H56" s="54">
        <v>3</v>
      </c>
      <c r="I56" s="49">
        <f t="shared" si="0"/>
        <v>9</v>
      </c>
      <c r="J56" s="87" t="s">
        <v>78</v>
      </c>
      <c r="K56" s="86" t="s">
        <v>70</v>
      </c>
      <c r="L56" s="54" t="s">
        <v>85</v>
      </c>
      <c r="M56" s="58" t="s">
        <v>118</v>
      </c>
      <c r="AB56" s="82"/>
    </row>
    <row r="57" spans="1:28" ht="15" customHeight="1">
      <c r="A57" s="45" t="s">
        <v>119</v>
      </c>
      <c r="B57" s="52" t="s">
        <v>74</v>
      </c>
      <c r="C57" s="52" t="s">
        <v>120</v>
      </c>
      <c r="D57" s="52" t="s">
        <v>121</v>
      </c>
      <c r="E57" s="52" t="s">
        <v>122</v>
      </c>
      <c r="F57" s="54">
        <v>4</v>
      </c>
      <c r="G57" s="54">
        <v>1</v>
      </c>
      <c r="H57" s="54">
        <v>1</v>
      </c>
      <c r="I57" s="49">
        <f t="shared" si="0"/>
        <v>4</v>
      </c>
      <c r="J57" s="87" t="s">
        <v>78</v>
      </c>
      <c r="K57" s="86" t="s">
        <v>70</v>
      </c>
      <c r="L57" s="54" t="s">
        <v>85</v>
      </c>
      <c r="M57" s="58" t="s">
        <v>123</v>
      </c>
      <c r="AB57" s="82"/>
    </row>
    <row r="58" spans="1:28" ht="15" customHeight="1">
      <c r="A58" s="45" t="s">
        <v>124</v>
      </c>
      <c r="B58" s="52" t="s">
        <v>81</v>
      </c>
      <c r="C58" s="52" t="s">
        <v>125</v>
      </c>
      <c r="D58" s="53" t="s">
        <v>126</v>
      </c>
      <c r="E58" s="52" t="s">
        <v>127</v>
      </c>
      <c r="F58" s="54">
        <v>2</v>
      </c>
      <c r="G58" s="54">
        <v>1</v>
      </c>
      <c r="H58" s="54">
        <f>4</f>
        <v>4</v>
      </c>
      <c r="I58" s="49">
        <f t="shared" si="0"/>
        <v>8</v>
      </c>
      <c r="J58" s="87" t="s">
        <v>78</v>
      </c>
      <c r="K58" s="86" t="s">
        <v>128</v>
      </c>
      <c r="L58" s="54" t="s">
        <v>85</v>
      </c>
      <c r="M58" s="58" t="s">
        <v>129</v>
      </c>
      <c r="AB58" s="82"/>
    </row>
    <row r="59" spans="1:28" ht="15" customHeight="1">
      <c r="A59" s="45" t="s">
        <v>130</v>
      </c>
      <c r="B59" s="52" t="s">
        <v>81</v>
      </c>
      <c r="C59" s="52" t="s">
        <v>131</v>
      </c>
      <c r="D59" s="52" t="s">
        <v>132</v>
      </c>
      <c r="E59" s="52" t="s">
        <v>95</v>
      </c>
      <c r="F59" s="54">
        <v>1</v>
      </c>
      <c r="G59" s="54">
        <v>1</v>
      </c>
      <c r="H59" s="54">
        <f>4</f>
        <v>4</v>
      </c>
      <c r="I59" s="49">
        <f t="shared" si="0"/>
        <v>4</v>
      </c>
      <c r="J59" s="87" t="s">
        <v>78</v>
      </c>
      <c r="K59" s="86" t="s">
        <v>70</v>
      </c>
      <c r="L59" s="54" t="s">
        <v>85</v>
      </c>
      <c r="M59" s="58" t="s">
        <v>133</v>
      </c>
      <c r="AB59" s="82"/>
    </row>
    <row r="60" spans="1:28" ht="15" customHeight="1">
      <c r="A60" s="45" t="s">
        <v>134</v>
      </c>
      <c r="B60" s="52" t="s">
        <v>81</v>
      </c>
      <c r="C60" s="52" t="s">
        <v>135</v>
      </c>
      <c r="D60" s="52" t="s">
        <v>136</v>
      </c>
      <c r="E60" s="52" t="s">
        <v>95</v>
      </c>
      <c r="F60" s="54">
        <v>2</v>
      </c>
      <c r="G60" s="54">
        <v>1</v>
      </c>
      <c r="H60" s="54">
        <v>3</v>
      </c>
      <c r="I60" s="49">
        <f t="shared" si="0"/>
        <v>6</v>
      </c>
      <c r="J60" s="87" t="s">
        <v>78</v>
      </c>
      <c r="K60" s="86" t="s">
        <v>70</v>
      </c>
      <c r="L60" s="54" t="s">
        <v>85</v>
      </c>
      <c r="M60" s="58" t="s">
        <v>137</v>
      </c>
      <c r="AB60" s="82"/>
    </row>
    <row r="61" spans="1:28" ht="45.75">
      <c r="A61" s="45" t="s">
        <v>138</v>
      </c>
      <c r="B61" s="52" t="s">
        <v>81</v>
      </c>
      <c r="C61" s="53" t="s">
        <v>139</v>
      </c>
      <c r="D61" s="52" t="s">
        <v>140</v>
      </c>
      <c r="E61" s="52" t="s">
        <v>141</v>
      </c>
      <c r="F61" s="54">
        <v>1</v>
      </c>
      <c r="G61" s="54">
        <v>1</v>
      </c>
      <c r="H61" s="54">
        <f>4</f>
        <v>4</v>
      </c>
      <c r="I61" s="49">
        <f t="shared" si="0"/>
        <v>4</v>
      </c>
      <c r="J61" s="87" t="s">
        <v>78</v>
      </c>
      <c r="K61" s="86" t="s">
        <v>142</v>
      </c>
      <c r="L61" s="54" t="s">
        <v>85</v>
      </c>
      <c r="M61" s="58" t="s">
        <v>143</v>
      </c>
      <c r="AB61" s="82"/>
    </row>
    <row r="62" spans="1:28" ht="15" customHeight="1">
      <c r="A62" s="45" t="s">
        <v>144</v>
      </c>
      <c r="B62" s="52" t="s">
        <v>145</v>
      </c>
      <c r="C62" s="59" t="s">
        <v>146</v>
      </c>
      <c r="D62" s="59" t="s">
        <v>147</v>
      </c>
      <c r="E62" s="59" t="s">
        <v>148</v>
      </c>
      <c r="F62" s="54">
        <v>2</v>
      </c>
      <c r="G62" s="54">
        <v>1</v>
      </c>
      <c r="H62" s="54">
        <f>4</f>
        <v>4</v>
      </c>
      <c r="I62" s="49">
        <f t="shared" si="0"/>
        <v>8</v>
      </c>
      <c r="J62" s="87" t="s">
        <v>78</v>
      </c>
      <c r="K62" s="86" t="s">
        <v>149</v>
      </c>
      <c r="L62" s="54" t="s">
        <v>71</v>
      </c>
      <c r="M62" s="58" t="s">
        <v>150</v>
      </c>
      <c r="AB62" s="82"/>
    </row>
    <row r="63" spans="1:28" ht="15" customHeight="1">
      <c r="A63" s="45" t="s">
        <v>151</v>
      </c>
      <c r="B63" s="52" t="s">
        <v>145</v>
      </c>
      <c r="C63" s="52" t="s">
        <v>152</v>
      </c>
      <c r="D63" s="52" t="s">
        <v>153</v>
      </c>
      <c r="E63" s="52" t="s">
        <v>148</v>
      </c>
      <c r="F63" s="54">
        <v>1</v>
      </c>
      <c r="G63" s="54">
        <v>1</v>
      </c>
      <c r="H63" s="54">
        <f>4</f>
        <v>4</v>
      </c>
      <c r="I63" s="49">
        <f t="shared" si="0"/>
        <v>4</v>
      </c>
      <c r="J63" s="87" t="s">
        <v>78</v>
      </c>
      <c r="K63" s="86" t="s">
        <v>78</v>
      </c>
      <c r="L63" s="54" t="s">
        <v>71</v>
      </c>
      <c r="M63" s="58" t="s">
        <v>154</v>
      </c>
      <c r="AB63" s="82"/>
    </row>
    <row r="64" spans="1:28" ht="15" customHeight="1">
      <c r="A64" s="45" t="s">
        <v>155</v>
      </c>
      <c r="B64" s="52" t="s">
        <v>81</v>
      </c>
      <c r="C64" s="52" t="s">
        <v>156</v>
      </c>
      <c r="D64" s="52" t="s">
        <v>157</v>
      </c>
      <c r="E64" s="52" t="s">
        <v>158</v>
      </c>
      <c r="F64" s="54">
        <v>2</v>
      </c>
      <c r="G64" s="54">
        <v>1</v>
      </c>
      <c r="H64" s="54">
        <v>4</v>
      </c>
      <c r="I64" s="49">
        <f t="shared" si="0"/>
        <v>8</v>
      </c>
      <c r="J64" s="87" t="s">
        <v>78</v>
      </c>
      <c r="K64" s="86" t="s">
        <v>70</v>
      </c>
      <c r="L64" s="54" t="s">
        <v>85</v>
      </c>
      <c r="M64" s="58" t="s">
        <v>159</v>
      </c>
      <c r="AB64" s="82"/>
    </row>
    <row r="65" spans="1:28" ht="15" customHeight="1">
      <c r="A65" s="45" t="s">
        <v>160</v>
      </c>
      <c r="B65" s="52" t="s">
        <v>81</v>
      </c>
      <c r="C65" s="52" t="s">
        <v>161</v>
      </c>
      <c r="D65" s="52" t="s">
        <v>157</v>
      </c>
      <c r="E65" s="52" t="s">
        <v>158</v>
      </c>
      <c r="F65" s="54">
        <v>1</v>
      </c>
      <c r="G65" s="54">
        <v>1</v>
      </c>
      <c r="H65" s="54">
        <v>2</v>
      </c>
      <c r="I65" s="49">
        <f t="shared" si="0"/>
        <v>2</v>
      </c>
      <c r="J65" s="87" t="s">
        <v>78</v>
      </c>
      <c r="K65" s="86" t="s">
        <v>70</v>
      </c>
      <c r="L65" s="54" t="s">
        <v>85</v>
      </c>
      <c r="M65" s="58" t="s">
        <v>159</v>
      </c>
      <c r="AB65" s="82"/>
    </row>
    <row r="66" spans="1:28" ht="45.75">
      <c r="A66" s="45" t="s">
        <v>162</v>
      </c>
      <c r="B66" s="52" t="s">
        <v>81</v>
      </c>
      <c r="C66" s="52" t="s">
        <v>163</v>
      </c>
      <c r="D66" s="53" t="s">
        <v>164</v>
      </c>
      <c r="E66" s="53" t="s">
        <v>165</v>
      </c>
      <c r="F66" s="54">
        <v>1</v>
      </c>
      <c r="G66" s="54">
        <v>1</v>
      </c>
      <c r="H66" s="54">
        <v>1</v>
      </c>
      <c r="I66" s="49">
        <f t="shared" si="0"/>
        <v>1</v>
      </c>
      <c r="J66" s="87" t="s">
        <v>78</v>
      </c>
      <c r="K66" s="86" t="s">
        <v>166</v>
      </c>
      <c r="L66" s="54" t="s">
        <v>85</v>
      </c>
      <c r="M66" s="58"/>
      <c r="AB66" s="82"/>
    </row>
    <row r="67" spans="1:28" ht="183" customHeight="1">
      <c r="A67" s="45" t="s">
        <v>167</v>
      </c>
      <c r="B67" s="52" t="s">
        <v>168</v>
      </c>
      <c r="C67" s="52" t="s">
        <v>169</v>
      </c>
      <c r="D67" s="61" t="s">
        <v>170</v>
      </c>
      <c r="E67" s="53" t="s">
        <v>171</v>
      </c>
      <c r="F67" s="54">
        <v>1</v>
      </c>
      <c r="G67" s="54">
        <v>1</v>
      </c>
      <c r="H67" s="54">
        <f>4</f>
        <v>4</v>
      </c>
      <c r="I67" s="49">
        <f t="shared" si="0"/>
        <v>4</v>
      </c>
      <c r="J67" s="87" t="s">
        <v>78</v>
      </c>
      <c r="K67" s="86" t="s">
        <v>142</v>
      </c>
      <c r="L67" s="54" t="s">
        <v>85</v>
      </c>
      <c r="M67" s="58" t="s">
        <v>172</v>
      </c>
      <c r="AB67" s="82"/>
    </row>
    <row r="68" spans="1:28" ht="137.25" customHeight="1">
      <c r="A68" s="45" t="s">
        <v>173</v>
      </c>
      <c r="B68" s="52" t="s">
        <v>174</v>
      </c>
      <c r="C68" s="52" t="s">
        <v>175</v>
      </c>
      <c r="D68" s="53" t="s">
        <v>176</v>
      </c>
      <c r="E68" s="53" t="s">
        <v>177</v>
      </c>
      <c r="F68" s="54">
        <v>1</v>
      </c>
      <c r="G68" s="54">
        <v>1</v>
      </c>
      <c r="H68" s="54">
        <v>4</v>
      </c>
      <c r="I68" s="49">
        <f t="shared" si="0"/>
        <v>4</v>
      </c>
      <c r="J68" s="87" t="s">
        <v>78</v>
      </c>
      <c r="K68" s="88" t="s">
        <v>149</v>
      </c>
      <c r="L68" s="54" t="s">
        <v>85</v>
      </c>
      <c r="M68" s="62" t="s">
        <v>178</v>
      </c>
      <c r="AB68" s="82"/>
    </row>
    <row r="69" spans="1:28" ht="167.25" customHeight="1">
      <c r="A69" s="45" t="s">
        <v>179</v>
      </c>
      <c r="B69" s="63" t="s">
        <v>180</v>
      </c>
      <c r="C69" s="63" t="s">
        <v>181</v>
      </c>
      <c r="D69" s="64" t="s">
        <v>182</v>
      </c>
      <c r="E69" s="64" t="s">
        <v>183</v>
      </c>
      <c r="F69" s="65">
        <v>1</v>
      </c>
      <c r="G69" s="65">
        <v>1</v>
      </c>
      <c r="H69" s="65">
        <v>3</v>
      </c>
      <c r="I69" s="49">
        <f t="shared" si="0"/>
        <v>3</v>
      </c>
      <c r="J69" s="87" t="s">
        <v>78</v>
      </c>
      <c r="K69" s="87" t="s">
        <v>142</v>
      </c>
      <c r="L69" s="74" t="s">
        <v>85</v>
      </c>
      <c r="M69" s="66" t="s">
        <v>184</v>
      </c>
      <c r="AB69" s="82"/>
    </row>
    <row r="70" spans="1:28"/>
    <row r="71" spans="1:28"/>
    <row r="72" spans="1:28"/>
  </sheetData>
  <mergeCells count="2">
    <mergeCell ref="A9:B9"/>
    <mergeCell ref="A45:B46"/>
  </mergeCells>
  <phoneticPr fontId="17" type="noConversion"/>
  <conditionalFormatting sqref="I47:J47 G47 I48:K69">
    <cfRule type="cellIs" dxfId="7" priority="5" operator="between">
      <formula>13</formula>
      <formula>16</formula>
    </cfRule>
    <cfRule type="cellIs" dxfId="6" priority="6" operator="between">
      <formula>9</formula>
      <formula>12</formula>
    </cfRule>
    <cfRule type="cellIs" dxfId="5" priority="7" operator="between">
      <formula>5</formula>
      <formula>8</formula>
    </cfRule>
    <cfRule type="cellIs" dxfId="4" priority="8" operator="between">
      <formula>1</formula>
      <formula>4</formula>
    </cfRule>
  </conditionalFormatting>
  <conditionalFormatting sqref="AB47:AB69">
    <cfRule type="cellIs" dxfId="3" priority="1" operator="between">
      <formula>13</formula>
      <formula>16</formula>
    </cfRule>
    <cfRule type="cellIs" dxfId="2" priority="2" operator="between">
      <formula>9</formula>
      <formula>12</formula>
    </cfRule>
    <cfRule type="cellIs" dxfId="1" priority="3" operator="between">
      <formula>5</formula>
      <formula>8</formula>
    </cfRule>
    <cfRule type="cellIs" dxfId="0" priority="4" operator="between">
      <formula>1</formula>
      <formula>4</formula>
    </cfRule>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ypededocument xmlns="5e559808-d930-4970-91a1-bd6f234f8931" xsi:nil="true"/>
    <TaxCatchAll xmlns="e8aab117-5955-4390-81ce-465e4528e65f" xsi:nil="true"/>
    <lcf76f155ced4ddcb4097134ff3c332f xmlns="5e559808-d930-4970-91a1-bd6f234f893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1AE86B12B2892468B4E66F9F0873F45" ma:contentTypeVersion="15" ma:contentTypeDescription="Create a new document." ma:contentTypeScope="" ma:versionID="ff8b3f593a3b18c614f55e7798a0c7b7">
  <xsd:schema xmlns:xsd="http://www.w3.org/2001/XMLSchema" xmlns:xs="http://www.w3.org/2001/XMLSchema" xmlns:p="http://schemas.microsoft.com/office/2006/metadata/properties" xmlns:ns2="5e559808-d930-4970-91a1-bd6f234f8931" xmlns:ns3="e8aab117-5955-4390-81ce-465e4528e65f" targetNamespace="http://schemas.microsoft.com/office/2006/metadata/properties" ma:root="true" ma:fieldsID="edc24b2e0e41619a1ca2dcefd59f18a2" ns2:_="" ns3:_="">
    <xsd:import namespace="5e559808-d930-4970-91a1-bd6f234f8931"/>
    <xsd:import namespace="e8aab117-5955-4390-81ce-465e4528e65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Typededocument"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559808-d930-4970-91a1-bd6f234f89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1ffef63-4b63-4086-abdd-edc9d154709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Typededocument" ma:index="21" nillable="true" ma:displayName="Type de document" ma:format="Dropdown" ma:internalName="Typededocument">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aab117-5955-4390-81ce-465e4528e6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d325a2c-4f9d-485a-8b53-02385c9b2f22}" ma:internalName="TaxCatchAll" ma:showField="CatchAllData" ma:web="e8aab117-5955-4390-81ce-465e4528e65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E08928-DD53-44AD-94E9-53885C7ED1DA}"/>
</file>

<file path=customXml/itemProps2.xml><?xml version="1.0" encoding="utf-8"?>
<ds:datastoreItem xmlns:ds="http://schemas.openxmlformats.org/officeDocument/2006/customXml" ds:itemID="{82D588F7-DBCC-4FD4-A199-F39573E8D2A1}"/>
</file>

<file path=customXml/itemProps3.xml><?xml version="1.0" encoding="utf-8"?>
<ds:datastoreItem xmlns:ds="http://schemas.openxmlformats.org/officeDocument/2006/customXml" ds:itemID="{C49EFFE9-90C4-43DC-8474-FBF95DFAB8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Utilisateur</dc:creator>
  <cp:keywords/>
  <dc:description/>
  <cp:lastModifiedBy>Atif SATIF [EKVY]</cp:lastModifiedBy>
  <cp:revision/>
  <dcterms:created xsi:type="dcterms:W3CDTF">2023-08-31T08:57:24Z</dcterms:created>
  <dcterms:modified xsi:type="dcterms:W3CDTF">2023-09-29T15:02:25Z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0x01010051AE86B12B2892468B4E66F9F0873F45</vt:lpwstr>
  </property>
  <property fmtid="{D5CDD505-2E9C-101B-9397-08002B2CF9AE}" pid="3" name="MediaServiceImageTags">
    <vt:lpwstr/>
  </property>
</Properties>
</file>